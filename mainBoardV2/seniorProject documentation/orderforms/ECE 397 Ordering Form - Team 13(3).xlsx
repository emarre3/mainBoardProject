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edwin\Desktop\seniorDesign\team13secondOrderForm\"/>
    </mc:Choice>
  </mc:AlternateContent>
  <xr:revisionPtr revIDLastSave="0" documentId="13_ncr:1_{BB0FE0B1-FDA5-4FA1-AFC7-69B54A442146}" xr6:coauthVersionLast="47" xr6:coauthVersionMax="47" xr10:uidLastSave="{00000000-0000-0000-0000-000000000000}"/>
  <bookViews>
    <workbookView xWindow="-110" yWindow="-110" windowWidth="19420" windowHeight="11500" xr2:uid="{F159759B-F060-4123-A196-5B55F2478EE1}"/>
  </bookViews>
  <sheets>
    <sheet name="Parts" sheetId="1" r:id="rId1"/>
    <sheet name="PCB Order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34" i="1"/>
  <c r="J35" i="1"/>
  <c r="J36" i="1"/>
  <c r="J37" i="1"/>
  <c r="J38" i="1"/>
  <c r="J39" i="1"/>
  <c r="J40" i="1"/>
  <c r="J41" i="1"/>
  <c r="J42" i="1"/>
  <c r="J43" i="1"/>
  <c r="J44" i="1"/>
  <c r="J45" i="1"/>
  <c r="J46" i="1"/>
  <c r="J47" i="1"/>
  <c r="J48" i="1"/>
  <c r="J49" i="1"/>
  <c r="J50" i="1"/>
  <c r="J51" i="1"/>
  <c r="J52" i="1"/>
  <c r="J53" i="1"/>
  <c r="J25" i="1"/>
  <c r="J26" i="1"/>
  <c r="J27" i="1"/>
  <c r="J28" i="1"/>
  <c r="J29" i="1"/>
  <c r="J30" i="1"/>
  <c r="J31" i="1"/>
  <c r="J32" i="1"/>
  <c r="J33" i="1"/>
  <c r="J6" i="1"/>
  <c r="J7" i="1"/>
  <c r="J8" i="1"/>
  <c r="J9" i="1"/>
  <c r="J10" i="1"/>
  <c r="J11" i="1"/>
  <c r="J12" i="1"/>
  <c r="J13" i="1"/>
  <c r="J14" i="1"/>
  <c r="J15" i="1"/>
  <c r="J16" i="1"/>
  <c r="J17" i="1"/>
  <c r="J18" i="1"/>
  <c r="J19" i="1"/>
  <c r="J20" i="1"/>
  <c r="J21" i="1"/>
  <c r="J22" i="1"/>
  <c r="J23" i="1"/>
  <c r="J24" i="1"/>
  <c r="J5" i="1"/>
</calcChain>
</file>

<file path=xl/sharedStrings.xml><?xml version="1.0" encoding="utf-8"?>
<sst xmlns="http://schemas.openxmlformats.org/spreadsheetml/2006/main" count="91" uniqueCount="82">
  <si>
    <t>Team Name:</t>
  </si>
  <si>
    <t>ECE Project Mentor (Name and Email):</t>
  </si>
  <si>
    <t>Team Representative email</t>
  </si>
  <si>
    <t>PCB Ordering Form</t>
  </si>
  <si>
    <t>ECE 397 Professor (Name and Email):</t>
  </si>
  <si>
    <t>Preferred Delivery date:</t>
  </si>
  <si>
    <t>Line Number</t>
  </si>
  <si>
    <t>Vendor</t>
  </si>
  <si>
    <t>Manufacturer</t>
  </si>
  <si>
    <t>Name of Part</t>
  </si>
  <si>
    <t>Vendor Part Number</t>
  </si>
  <si>
    <t>Manufacturer Part Number</t>
  </si>
  <si>
    <t>Description</t>
  </si>
  <si>
    <t xml:space="preserve">Quantity </t>
  </si>
  <si>
    <t>Unit Cost</t>
  </si>
  <si>
    <t>Total Price</t>
  </si>
  <si>
    <t>Website Link</t>
  </si>
  <si>
    <t>Parts Ordering Form</t>
  </si>
  <si>
    <t>PCB Orders</t>
  </si>
  <si>
    <t xml:space="preserve">The PCB specifications below are the default options. If your peject calls for different specifications edit them as needed. If you don't know if your PCB needs non standared specificatins schedule a meeting with Ricardo. </t>
  </si>
  <si>
    <t>Specification</t>
  </si>
  <si>
    <t>Key</t>
  </si>
  <si>
    <t>Base Material</t>
  </si>
  <si>
    <t>FR-4</t>
  </si>
  <si>
    <t xml:space="preserve">Green </t>
  </si>
  <si>
    <t>Edit freely</t>
  </si>
  <si>
    <t>Number of Layers</t>
  </si>
  <si>
    <t>Yellow</t>
  </si>
  <si>
    <t>Requires meeting if something else is needed</t>
  </si>
  <si>
    <t xml:space="preserve">Expected Dimenions </t>
  </si>
  <si>
    <t>Orange</t>
  </si>
  <si>
    <t>Cannot change</t>
  </si>
  <si>
    <t>PCB Qty (multiples of 5)</t>
  </si>
  <si>
    <t>Product Type</t>
  </si>
  <si>
    <t>Industrial/ Consumer electronics</t>
  </si>
  <si>
    <t xml:space="preserve">Differnt Design </t>
  </si>
  <si>
    <t xml:space="preserve">Dilivery Format </t>
  </si>
  <si>
    <t>Single PCB</t>
  </si>
  <si>
    <t>PCB Thickness</t>
  </si>
  <si>
    <t>1.6mm</t>
  </si>
  <si>
    <t>PCB Color</t>
  </si>
  <si>
    <t>Green</t>
  </si>
  <si>
    <t xml:space="preserve">Silkscreen </t>
  </si>
  <si>
    <t>White</t>
  </si>
  <si>
    <t>Material Type</t>
  </si>
  <si>
    <t>FR4 TG135</t>
  </si>
  <si>
    <t>Surface Finish</t>
  </si>
  <si>
    <t>HASL (with lead)</t>
  </si>
  <si>
    <t>Outer Copper Weight</t>
  </si>
  <si>
    <t>1 oz</t>
  </si>
  <si>
    <t>Via Covering</t>
  </si>
  <si>
    <t>Tented</t>
  </si>
  <si>
    <t>Min via hole size/diameter</t>
  </si>
  <si>
    <t>0.3mm/(0.4/0/45mm)</t>
  </si>
  <si>
    <t xml:space="preserve">Board Outline Tolerance </t>
  </si>
  <si>
    <t>+/- 0.2mm(Regular)</t>
  </si>
  <si>
    <t>Confirm Production File</t>
  </si>
  <si>
    <t>No</t>
  </si>
  <si>
    <t>Mark on PCB</t>
  </si>
  <si>
    <t>Remove Mark</t>
  </si>
  <si>
    <t>Electrical Test</t>
  </si>
  <si>
    <t>Flying Probe Fully Test</t>
  </si>
  <si>
    <t>Gold Fingers</t>
  </si>
  <si>
    <t>Castellated Holes</t>
  </si>
  <si>
    <t>Edge Plating</t>
  </si>
  <si>
    <t>Blined Slots</t>
  </si>
  <si>
    <t>UL Marking</t>
  </si>
  <si>
    <t>PCB Assembly</t>
  </si>
  <si>
    <t>Meeting Required if needed</t>
  </si>
  <si>
    <t xml:space="preserve">Stencil </t>
  </si>
  <si>
    <t>if SMD (recommended) 
if through hole (not needed)</t>
  </si>
  <si>
    <t>https://www.amazon.com/HiLetgo-ESP32-CAM-Development-Bluetooth-Raspberry/dp/B07RXPHYNM?crid=HQ7EGMZV8O3F&amp;dib=eyJ2IjoiMSJ9.0WbOFxop-ig-2MpjlXinhEqFhmd6gfNfiNi4YTfVYvP1Kkcj-SURMcu4wpPHajyHRCKsBTkkFgR7AZ5HcEK3oKt_l198j0r2zGBJNOcpYDjvhTVD37Bj9mr5dnyPFciQJTv8qlPGJxmvpISdFqAEVbKhgk5MqBBjvIiBQWs5BCbUnUHaamxq2Q5JDHOHPo5SBt_0FPHKtsm-RJyrjZS9OST3ZyYU26Bh8HIyJPPOUQo.9BDOeYdxQjzJAIcEG5UB_0-6N5FNOCLvdzscQ37VBrc&amp;dib_tag=se&amp;keywords=ESP32%2C+OV2640+ESP32-S+Image+Sensor+Senso&amp;qid=1771510083&amp;sprefix=esp32%2C+ov2640+esp32-s+image+sensor+senso%2Caps%2C125&amp;sr=8-8</t>
  </si>
  <si>
    <t>HiLetGo</t>
  </si>
  <si>
    <t>ESP32-Cam Camera Module</t>
  </si>
  <si>
    <t>ESP32-S OV2640 2MP Camera Development Board + Micro USB to Serial Port CH340C 4.75V-5.25V Wireless WiFi Bluetooth with TF Card Slot (2-pack)</t>
  </si>
  <si>
    <t>https://www.amazon.com/HiLetgo-FT232RL-Converter-Adapter-Breakout/dp/B0FRCSXT6K?crid=2R6657ACJ9W3M&amp;dib=eyJ2IjoiMSJ9.buA9uzSnyBZxXabak4AhdUvlrrg1nGhEYlJHyOzfg5UXOpk-fTCIaRjsdQsvwfnSm2vrut--C3QGlvZe4tSPcZ7cLyd-bk0xTHeqvPIwMNb8kgbw-HQy1EmytHpNZ9ogE2ukr_oRYUhM31mNN6i_rvQ6Ba0fAB_BTsK1DwEcnCGkMoBf4Wld1NUaWTR_BDgvSgyvClGSWhzSKGEY6AGneKdDIKytPJfMiKdlVOlB63c.lQnprOFJSbeIeCzkh5Tykrx3ocSrcHlXVSyFV0YGzB4&amp;dib_tag=se&amp;keywords=FT232RL%2BFTDI%2BUSB%2B3.3V%2B5.5V%2Bto%2BTTL%2BSerial%2BAdapter%2BModule%2Bfor%2BFT232%2BMini%2BPort&amp;nsdOptOutParam=true&amp;qid=1771509988&amp;sprefix=ft232rl%2Bftdi%2Busb%2B3.3v%2B5.5v%2Bto%2Bttl%2Bserial%2Badapter%2Bmodule%2Bfor%2Bft232%2Bmini%2Bport%2Caps%2C155&amp;sr=8-2-spons&amp;sp_csd=d2lkZ2V0TmFtZT1zcF9hdGY&amp;th=1</t>
  </si>
  <si>
    <t>FT232RL Mini USB to TTL Serial Converter Adapter Module</t>
  </si>
  <si>
    <t>For programming ESP32 cameras. (2-pack)</t>
  </si>
  <si>
    <t>Team Name: Team 13</t>
  </si>
  <si>
    <t>Team Representative email: emarre3@uic.edu</t>
  </si>
  <si>
    <t>ECE Project Mentor: Dr. Ahmet Enis Cetin, aecyy@uic.edu</t>
  </si>
  <si>
    <t>ECE 397 Professor: Dr. Matthew Alonso, malonso2@uic.edu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</si>
</sst>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u/>
      <sz val="16"/>
      <color theme="10"/>
      <name val="Calibri"/>
      <family val="2"/>
      <scheme val="minor"/>
    </font>
  </fonts>
  <fills count="6">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34">
    <xf numFmtId="0" fontId="0" fillId="0" borderId="0" xfId="0"/>
    <xf numFmtId="0" fontId="0" fillId="2" borderId="1" xfId="0" applyFill="1" applyBorder="1" applyAlignment="1">
      <alignment horizontal="center"/>
    </xf>
    <xf numFmtId="0" fontId="2" fillId="0" borderId="0" xfId="1" applyFont="1" applyFill="1"/>
    <xf numFmtId="0" fontId="0" fillId="0" borderId="1" xfId="0" applyBorder="1"/>
    <xf numFmtId="0" fontId="0" fillId="0" borderId="1" xfId="0" applyBorder="1" applyAlignment="1">
      <alignment horizontal="center" vertical="center"/>
    </xf>
    <xf numFmtId="0" fontId="0" fillId="5" borderId="1" xfId="0" applyFill="1" applyBorder="1"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xf>
    <xf numFmtId="0" fontId="0" fillId="5" borderId="1" xfId="0" applyFill="1" applyBorder="1" applyAlignment="1">
      <alignment horizontal="center"/>
    </xf>
    <xf numFmtId="49" fontId="0" fillId="4" borderId="1" xfId="0" applyNumberFormat="1" applyFill="1" applyBorder="1" applyAlignment="1">
      <alignment horizontal="center"/>
    </xf>
    <xf numFmtId="0" fontId="0" fillId="4" borderId="1" xfId="0" applyFill="1" applyBorder="1" applyAlignment="1">
      <alignment horizontal="center"/>
    </xf>
    <xf numFmtId="0" fontId="0" fillId="0" borderId="2" xfId="0" applyBorder="1"/>
    <xf numFmtId="0" fontId="0" fillId="5" borderId="3" xfId="0" applyFill="1" applyBorder="1"/>
    <xf numFmtId="0" fontId="0" fillId="4" borderId="3" xfId="0" applyFill="1" applyBorder="1"/>
    <xf numFmtId="0" fontId="0" fillId="2" borderId="4" xfId="0" applyFill="1" applyBorder="1"/>
    <xf numFmtId="49" fontId="0" fillId="0" borderId="1" xfId="0" applyNumberFormat="1" applyBorder="1" applyAlignment="1">
      <alignment horizontal="left" vertical="center" wrapText="1"/>
    </xf>
    <xf numFmtId="49" fontId="0" fillId="2" borderId="1" xfId="0" applyNumberFormat="1" applyFill="1" applyBorder="1" applyAlignment="1">
      <alignment wrapText="1"/>
    </xf>
    <xf numFmtId="49" fontId="0" fillId="2" borderId="1" xfId="0" applyNumberFormat="1" applyFill="1" applyBorder="1"/>
    <xf numFmtId="0" fontId="0" fillId="0" borderId="1" xfId="0" applyBorder="1" applyAlignment="1">
      <alignment horizontal="left" vertical="center"/>
    </xf>
    <xf numFmtId="0" fontId="0" fillId="2" borderId="5" xfId="0" applyFill="1" applyBorder="1" applyAlignment="1">
      <alignment horizontal="left"/>
    </xf>
    <xf numFmtId="0" fontId="0" fillId="5" borderId="1" xfId="0" applyFill="1" applyBorder="1" applyAlignment="1">
      <alignment horizontal="left"/>
    </xf>
    <xf numFmtId="0" fontId="0" fillId="4" borderId="1" xfId="0" applyFill="1" applyBorder="1" applyAlignment="1">
      <alignment horizontal="left"/>
    </xf>
    <xf numFmtId="0" fontId="0" fillId="0" borderId="1" xfId="0" applyBorder="1" applyAlignment="1">
      <alignment horizontal="left"/>
    </xf>
    <xf numFmtId="0" fontId="0" fillId="0" borderId="0" xfId="0" applyAlignment="1">
      <alignment wrapText="1"/>
    </xf>
    <xf numFmtId="0" fontId="2" fillId="0" borderId="0" xfId="1" applyFont="1" applyFill="1" applyAlignment="1">
      <alignment wrapText="1"/>
    </xf>
    <xf numFmtId="0" fontId="1" fillId="0" borderId="0" xfId="1" applyAlignment="1">
      <alignment wrapText="1"/>
    </xf>
    <xf numFmtId="0" fontId="0" fillId="3" borderId="1" xfId="0" applyFill="1" applyBorder="1" applyAlignment="1">
      <alignment horizontal="center" wrapText="1"/>
    </xf>
    <xf numFmtId="0" fontId="0" fillId="2" borderId="1" xfId="0" applyFill="1" applyBorder="1" applyAlignment="1">
      <alignment horizontal="center" wrapText="1"/>
    </xf>
    <xf numFmtId="0" fontId="0" fillId="3" borderId="1" xfId="0" applyFill="1" applyBorder="1" applyAlignment="1">
      <alignment wrapText="1"/>
    </xf>
    <xf numFmtId="0" fontId="0" fillId="0" borderId="0" xfId="0" applyAlignment="1">
      <alignment horizontal="center" wrapText="1"/>
    </xf>
    <xf numFmtId="0" fontId="0" fillId="0" borderId="0" xfId="0" applyAlignment="1"/>
    <xf numFmtId="0" fontId="0" fillId="2" borderId="1" xfId="0" applyFill="1" applyBorder="1" applyAlignment="1"/>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1480F-818E-4210-A02B-1D405E8540DC}">
  <dimension ref="A1:K53"/>
  <sheetViews>
    <sheetView tabSelected="1" zoomScale="65" zoomScaleNormal="100" workbookViewId="0">
      <pane ySplit="4" topLeftCell="A5" activePane="bottomLeft" state="frozen"/>
      <selection pane="bottomLeft" activeCell="F6" sqref="F6"/>
    </sheetView>
  </sheetViews>
  <sheetFormatPr defaultColWidth="8.81640625" defaultRowHeight="14.5" x14ac:dyDescent="0.35"/>
  <cols>
    <col min="1" max="1" width="25.81640625" style="24" bestFit="1" customWidth="1"/>
    <col min="2" max="2" width="16.7265625" style="24" customWidth="1"/>
    <col min="3" max="3" width="18.1796875" style="24" customWidth="1"/>
    <col min="4" max="4" width="17.54296875" style="24" customWidth="1"/>
    <col min="5" max="5" width="21.453125" style="24" customWidth="1"/>
    <col min="6" max="6" width="28.81640625" style="24" customWidth="1"/>
    <col min="7" max="7" width="49.54296875" style="24" customWidth="1"/>
    <col min="8" max="8" width="9.7265625" style="24" customWidth="1"/>
    <col min="9" max="9" width="10.453125" style="24" customWidth="1"/>
    <col min="10" max="10" width="15.1796875" style="24" customWidth="1"/>
    <col min="11" max="11" width="94.26953125" style="31" customWidth="1"/>
    <col min="12" max="16384" width="8.81640625" style="24"/>
  </cols>
  <sheetData>
    <row r="1" spans="1:11" x14ac:dyDescent="0.35">
      <c r="A1" s="24" t="s">
        <v>78</v>
      </c>
      <c r="F1" s="33" t="s">
        <v>80</v>
      </c>
    </row>
    <row r="2" spans="1:11" ht="42" x14ac:dyDescent="0.5">
      <c r="A2" s="24" t="s">
        <v>79</v>
      </c>
      <c r="C2" s="25" t="s">
        <v>3</v>
      </c>
      <c r="F2" s="33" t="s">
        <v>81</v>
      </c>
      <c r="G2" s="26"/>
    </row>
    <row r="3" spans="1:11" x14ac:dyDescent="0.35">
      <c r="A3" s="24" t="s">
        <v>5</v>
      </c>
      <c r="G3" s="26"/>
      <c r="J3" s="24">
        <f>SUM(J5:J6)</f>
        <v>62.94</v>
      </c>
    </row>
    <row r="4" spans="1:11" s="29" customFormat="1" x14ac:dyDescent="0.35">
      <c r="A4" s="27" t="s">
        <v>6</v>
      </c>
      <c r="B4" s="28" t="s">
        <v>7</v>
      </c>
      <c r="C4" s="28" t="s">
        <v>8</v>
      </c>
      <c r="D4" s="27" t="s">
        <v>9</v>
      </c>
      <c r="E4" s="27" t="s">
        <v>10</v>
      </c>
      <c r="F4" s="28" t="s">
        <v>11</v>
      </c>
      <c r="G4" s="27" t="s">
        <v>12</v>
      </c>
      <c r="H4" s="28" t="s">
        <v>13</v>
      </c>
      <c r="I4" s="28" t="s">
        <v>14</v>
      </c>
      <c r="J4" s="27" t="s">
        <v>15</v>
      </c>
      <c r="K4" s="32" t="s">
        <v>16</v>
      </c>
    </row>
    <row r="5" spans="1:11" ht="43.5" x14ac:dyDescent="0.35">
      <c r="A5" s="30">
        <v>1</v>
      </c>
      <c r="B5" s="24" t="s">
        <v>72</v>
      </c>
      <c r="C5" s="24" t="s">
        <v>72</v>
      </c>
      <c r="D5" s="24" t="s">
        <v>73</v>
      </c>
      <c r="G5" s="24" t="s">
        <v>74</v>
      </c>
      <c r="H5" s="24">
        <v>2</v>
      </c>
      <c r="I5" s="24">
        <v>18.489999999999998</v>
      </c>
      <c r="J5" s="24">
        <f t="shared" ref="J5:J25" si="0">H5*I5</f>
        <v>36.979999999999997</v>
      </c>
      <c r="K5" s="31" t="s">
        <v>71</v>
      </c>
    </row>
    <row r="6" spans="1:11" ht="58" x14ac:dyDescent="0.35">
      <c r="A6" s="30">
        <v>2</v>
      </c>
      <c r="B6" s="24" t="s">
        <v>72</v>
      </c>
      <c r="C6" s="24" t="s">
        <v>72</v>
      </c>
      <c r="D6" s="24" t="s">
        <v>76</v>
      </c>
      <c r="G6" s="24" t="s">
        <v>77</v>
      </c>
      <c r="H6" s="24">
        <v>2</v>
      </c>
      <c r="I6" s="24">
        <v>12.98</v>
      </c>
      <c r="J6" s="24">
        <f t="shared" si="0"/>
        <v>25.96</v>
      </c>
      <c r="K6" s="31" t="s">
        <v>75</v>
      </c>
    </row>
    <row r="7" spans="1:11" x14ac:dyDescent="0.35">
      <c r="A7" s="30">
        <v>3</v>
      </c>
      <c r="J7" s="24">
        <f t="shared" si="0"/>
        <v>0</v>
      </c>
    </row>
    <row r="8" spans="1:11" x14ac:dyDescent="0.35">
      <c r="A8" s="30">
        <v>4</v>
      </c>
      <c r="J8" s="24">
        <f t="shared" si="0"/>
        <v>0</v>
      </c>
    </row>
    <row r="9" spans="1:11" x14ac:dyDescent="0.35">
      <c r="A9" s="30">
        <v>5</v>
      </c>
      <c r="J9" s="24">
        <f t="shared" si="0"/>
        <v>0</v>
      </c>
    </row>
    <row r="10" spans="1:11" x14ac:dyDescent="0.35">
      <c r="A10" s="30">
        <v>6</v>
      </c>
      <c r="J10" s="24">
        <f t="shared" si="0"/>
        <v>0</v>
      </c>
    </row>
    <row r="11" spans="1:11" x14ac:dyDescent="0.35">
      <c r="A11" s="30">
        <v>7</v>
      </c>
      <c r="J11" s="24">
        <f t="shared" si="0"/>
        <v>0</v>
      </c>
    </row>
    <row r="12" spans="1:11" x14ac:dyDescent="0.35">
      <c r="A12" s="30">
        <v>8</v>
      </c>
      <c r="J12" s="24">
        <f t="shared" si="0"/>
        <v>0</v>
      </c>
    </row>
    <row r="13" spans="1:11" x14ac:dyDescent="0.35">
      <c r="A13" s="30">
        <v>9</v>
      </c>
      <c r="J13" s="24">
        <f t="shared" si="0"/>
        <v>0</v>
      </c>
    </row>
    <row r="14" spans="1:11" x14ac:dyDescent="0.35">
      <c r="A14" s="30">
        <v>10</v>
      </c>
      <c r="J14" s="24">
        <f t="shared" si="0"/>
        <v>0</v>
      </c>
    </row>
    <row r="15" spans="1:11" x14ac:dyDescent="0.35">
      <c r="A15" s="30">
        <v>11</v>
      </c>
      <c r="J15" s="24">
        <f t="shared" si="0"/>
        <v>0</v>
      </c>
    </row>
    <row r="16" spans="1:11" x14ac:dyDescent="0.35">
      <c r="A16" s="30">
        <v>12</v>
      </c>
      <c r="J16" s="24">
        <f t="shared" si="0"/>
        <v>0</v>
      </c>
    </row>
    <row r="17" spans="1:10" x14ac:dyDescent="0.35">
      <c r="A17" s="30">
        <v>13</v>
      </c>
      <c r="J17" s="24">
        <f t="shared" si="0"/>
        <v>0</v>
      </c>
    </row>
    <row r="18" spans="1:10" x14ac:dyDescent="0.35">
      <c r="A18" s="30">
        <v>14</v>
      </c>
      <c r="J18" s="24">
        <f t="shared" si="0"/>
        <v>0</v>
      </c>
    </row>
    <row r="19" spans="1:10" x14ac:dyDescent="0.35">
      <c r="A19" s="30">
        <v>15</v>
      </c>
      <c r="J19" s="24">
        <f t="shared" si="0"/>
        <v>0</v>
      </c>
    </row>
    <row r="20" spans="1:10" x14ac:dyDescent="0.35">
      <c r="A20" s="30">
        <v>16</v>
      </c>
      <c r="J20" s="24">
        <f t="shared" si="0"/>
        <v>0</v>
      </c>
    </row>
    <row r="21" spans="1:10" x14ac:dyDescent="0.35">
      <c r="A21" s="30">
        <v>17</v>
      </c>
      <c r="J21" s="24">
        <f t="shared" si="0"/>
        <v>0</v>
      </c>
    </row>
    <row r="22" spans="1:10" x14ac:dyDescent="0.35">
      <c r="A22" s="30">
        <v>18</v>
      </c>
      <c r="J22" s="24">
        <f t="shared" si="0"/>
        <v>0</v>
      </c>
    </row>
    <row r="23" spans="1:10" x14ac:dyDescent="0.35">
      <c r="A23" s="30">
        <v>19</v>
      </c>
      <c r="J23" s="24">
        <f t="shared" si="0"/>
        <v>0</v>
      </c>
    </row>
    <row r="24" spans="1:10" x14ac:dyDescent="0.35">
      <c r="A24" s="30">
        <v>20</v>
      </c>
      <c r="J24" s="24">
        <f t="shared" si="0"/>
        <v>0</v>
      </c>
    </row>
    <row r="25" spans="1:10" x14ac:dyDescent="0.35">
      <c r="A25" s="30">
        <v>21</v>
      </c>
      <c r="J25" s="24">
        <f t="shared" si="0"/>
        <v>0</v>
      </c>
    </row>
    <row r="26" spans="1:10" x14ac:dyDescent="0.35">
      <c r="A26" s="30">
        <v>22</v>
      </c>
      <c r="J26" s="24">
        <f t="shared" ref="J26:J53" si="1">E26*F26</f>
        <v>0</v>
      </c>
    </row>
    <row r="27" spans="1:10" x14ac:dyDescent="0.35">
      <c r="A27" s="30">
        <v>23</v>
      </c>
      <c r="J27" s="24">
        <f t="shared" si="1"/>
        <v>0</v>
      </c>
    </row>
    <row r="28" spans="1:10" x14ac:dyDescent="0.35">
      <c r="A28" s="30">
        <v>24</v>
      </c>
      <c r="J28" s="24">
        <f t="shared" si="1"/>
        <v>0</v>
      </c>
    </row>
    <row r="29" spans="1:10" x14ac:dyDescent="0.35">
      <c r="A29" s="30">
        <v>25</v>
      </c>
      <c r="J29" s="24">
        <f t="shared" si="1"/>
        <v>0</v>
      </c>
    </row>
    <row r="30" spans="1:10" x14ac:dyDescent="0.35">
      <c r="A30" s="30">
        <v>26</v>
      </c>
      <c r="J30" s="24">
        <f t="shared" si="1"/>
        <v>0</v>
      </c>
    </row>
    <row r="31" spans="1:10" x14ac:dyDescent="0.35">
      <c r="A31" s="30">
        <v>27</v>
      </c>
      <c r="J31" s="24">
        <f t="shared" si="1"/>
        <v>0</v>
      </c>
    </row>
    <row r="32" spans="1:10" x14ac:dyDescent="0.35">
      <c r="A32" s="30">
        <v>28</v>
      </c>
      <c r="J32" s="24">
        <f t="shared" si="1"/>
        <v>0</v>
      </c>
    </row>
    <row r="33" spans="1:10" x14ac:dyDescent="0.35">
      <c r="A33" s="30">
        <v>29</v>
      </c>
      <c r="J33" s="24">
        <f t="shared" si="1"/>
        <v>0</v>
      </c>
    </row>
    <row r="34" spans="1:10" x14ac:dyDescent="0.35">
      <c r="A34" s="30">
        <v>30</v>
      </c>
      <c r="J34" s="24">
        <f t="shared" si="1"/>
        <v>0</v>
      </c>
    </row>
    <row r="35" spans="1:10" x14ac:dyDescent="0.35">
      <c r="J35" s="24">
        <f t="shared" si="1"/>
        <v>0</v>
      </c>
    </row>
    <row r="36" spans="1:10" x14ac:dyDescent="0.35">
      <c r="J36" s="24">
        <f t="shared" si="1"/>
        <v>0</v>
      </c>
    </row>
    <row r="37" spans="1:10" x14ac:dyDescent="0.35">
      <c r="J37" s="24">
        <f t="shared" si="1"/>
        <v>0</v>
      </c>
    </row>
    <row r="38" spans="1:10" x14ac:dyDescent="0.35">
      <c r="J38" s="24">
        <f t="shared" si="1"/>
        <v>0</v>
      </c>
    </row>
    <row r="39" spans="1:10" x14ac:dyDescent="0.35">
      <c r="J39" s="24">
        <f t="shared" si="1"/>
        <v>0</v>
      </c>
    </row>
    <row r="40" spans="1:10" x14ac:dyDescent="0.35">
      <c r="J40" s="24">
        <f t="shared" si="1"/>
        <v>0</v>
      </c>
    </row>
    <row r="41" spans="1:10" x14ac:dyDescent="0.35">
      <c r="J41" s="24">
        <f t="shared" si="1"/>
        <v>0</v>
      </c>
    </row>
    <row r="42" spans="1:10" x14ac:dyDescent="0.35">
      <c r="J42" s="24">
        <f t="shared" si="1"/>
        <v>0</v>
      </c>
    </row>
    <row r="43" spans="1:10" x14ac:dyDescent="0.35">
      <c r="J43" s="24">
        <f t="shared" si="1"/>
        <v>0</v>
      </c>
    </row>
    <row r="44" spans="1:10" x14ac:dyDescent="0.35">
      <c r="J44" s="24">
        <f t="shared" si="1"/>
        <v>0</v>
      </c>
    </row>
    <row r="45" spans="1:10" x14ac:dyDescent="0.35">
      <c r="J45" s="24">
        <f t="shared" si="1"/>
        <v>0</v>
      </c>
    </row>
    <row r="46" spans="1:10" x14ac:dyDescent="0.35">
      <c r="J46" s="24">
        <f t="shared" si="1"/>
        <v>0</v>
      </c>
    </row>
    <row r="47" spans="1:10" x14ac:dyDescent="0.35">
      <c r="J47" s="24">
        <f t="shared" si="1"/>
        <v>0</v>
      </c>
    </row>
    <row r="48" spans="1:10" x14ac:dyDescent="0.35">
      <c r="J48" s="24">
        <f t="shared" si="1"/>
        <v>0</v>
      </c>
    </row>
    <row r="49" spans="10:10" x14ac:dyDescent="0.35">
      <c r="J49" s="24">
        <f t="shared" si="1"/>
        <v>0</v>
      </c>
    </row>
    <row r="50" spans="10:10" x14ac:dyDescent="0.35">
      <c r="J50" s="24">
        <f t="shared" si="1"/>
        <v>0</v>
      </c>
    </row>
    <row r="51" spans="10:10" x14ac:dyDescent="0.35">
      <c r="J51" s="24">
        <f t="shared" si="1"/>
        <v>0</v>
      </c>
    </row>
    <row r="52" spans="10:10" x14ac:dyDescent="0.35">
      <c r="J52" s="24">
        <f t="shared" si="1"/>
        <v>0</v>
      </c>
    </row>
    <row r="53" spans="10:10" x14ac:dyDescent="0.35">
      <c r="J53" s="24">
        <f t="shared" si="1"/>
        <v>0</v>
      </c>
    </row>
  </sheetData>
  <hyperlinks>
    <hyperlink ref="C2" location="'PCB Ordering'!A1" display="PCB Ordering Form" xr:uid="{2276852F-6ABE-45EC-8C9D-11A2FE76442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50B9-3DDD-401B-B8F5-4B683BFD1056}">
  <dimension ref="A1:F45"/>
  <sheetViews>
    <sheetView workbookViewId="0"/>
  </sheetViews>
  <sheetFormatPr defaultRowHeight="14.5" x14ac:dyDescent="0.35"/>
  <cols>
    <col min="1" max="1" width="27.26953125" customWidth="1"/>
    <col min="2" max="2" width="28.7265625" customWidth="1"/>
    <col min="3" max="3" width="19.1796875" customWidth="1"/>
    <col min="5" max="5" width="23.54296875" customWidth="1"/>
    <col min="6" max="6" width="35.453125" bestFit="1" customWidth="1"/>
  </cols>
  <sheetData>
    <row r="1" spans="1:6" x14ac:dyDescent="0.35">
      <c r="A1" t="s">
        <v>0</v>
      </c>
      <c r="F1" t="s">
        <v>1</v>
      </c>
    </row>
    <row r="2" spans="1:6" ht="21" x14ac:dyDescent="0.5">
      <c r="A2" t="s">
        <v>2</v>
      </c>
      <c r="C2" s="2" t="s">
        <v>17</v>
      </c>
      <c r="F2" t="s">
        <v>4</v>
      </c>
    </row>
    <row r="3" spans="1:6" x14ac:dyDescent="0.35">
      <c r="A3" t="s">
        <v>5</v>
      </c>
    </row>
    <row r="4" spans="1:6" x14ac:dyDescent="0.35">
      <c r="A4" t="s">
        <v>18</v>
      </c>
    </row>
    <row r="6" spans="1:6" ht="15" customHeight="1" x14ac:dyDescent="0.35">
      <c r="A6" s="16" t="s">
        <v>19</v>
      </c>
      <c r="B6" s="16"/>
      <c r="C6" s="16"/>
    </row>
    <row r="7" spans="1:6" x14ac:dyDescent="0.35">
      <c r="A7" s="16"/>
      <c r="B7" s="16"/>
      <c r="C7" s="16"/>
    </row>
    <row r="8" spans="1:6" x14ac:dyDescent="0.35">
      <c r="A8" s="16"/>
      <c r="B8" s="16"/>
      <c r="C8" s="16"/>
    </row>
    <row r="9" spans="1:6" x14ac:dyDescent="0.35">
      <c r="A9" s="16"/>
      <c r="B9" s="16"/>
      <c r="C9" s="16"/>
    </row>
    <row r="14" spans="1:6" x14ac:dyDescent="0.35">
      <c r="A14" s="3" t="s">
        <v>20</v>
      </c>
      <c r="B14" s="4"/>
      <c r="D14" s="23" t="s">
        <v>21</v>
      </c>
      <c r="E14" s="23"/>
      <c r="F14" s="23"/>
    </row>
    <row r="15" spans="1:6" x14ac:dyDescent="0.35">
      <c r="A15" s="3" t="s">
        <v>22</v>
      </c>
      <c r="B15" s="5" t="s">
        <v>23</v>
      </c>
      <c r="D15" s="15" t="s">
        <v>24</v>
      </c>
      <c r="E15" s="20" t="s">
        <v>25</v>
      </c>
      <c r="F15" s="20"/>
    </row>
    <row r="16" spans="1:6" x14ac:dyDescent="0.35">
      <c r="A16" s="3" t="s">
        <v>26</v>
      </c>
      <c r="B16" s="6">
        <v>2</v>
      </c>
      <c r="D16" s="13" t="s">
        <v>27</v>
      </c>
      <c r="E16" s="21" t="s">
        <v>28</v>
      </c>
      <c r="F16" s="21"/>
    </row>
    <row r="17" spans="1:6" x14ac:dyDescent="0.35">
      <c r="A17" s="3" t="s">
        <v>29</v>
      </c>
      <c r="B17" s="6"/>
      <c r="D17" s="14" t="s">
        <v>30</v>
      </c>
      <c r="E17" s="22" t="s">
        <v>31</v>
      </c>
      <c r="F17" s="22"/>
    </row>
    <row r="18" spans="1:6" x14ac:dyDescent="0.35">
      <c r="A18" s="3" t="s">
        <v>32</v>
      </c>
      <c r="B18" s="6">
        <v>5</v>
      </c>
    </row>
    <row r="19" spans="1:6" x14ac:dyDescent="0.35">
      <c r="A19" s="3" t="s">
        <v>33</v>
      </c>
      <c r="B19" s="5" t="s">
        <v>34</v>
      </c>
    </row>
    <row r="20" spans="1:6" x14ac:dyDescent="0.35">
      <c r="A20" s="3"/>
      <c r="B20" s="4"/>
    </row>
    <row r="21" spans="1:6" x14ac:dyDescent="0.35">
      <c r="A21" s="3" t="s">
        <v>35</v>
      </c>
      <c r="B21" s="7">
        <v>1</v>
      </c>
    </row>
    <row r="22" spans="1:6" x14ac:dyDescent="0.35">
      <c r="A22" s="3" t="s">
        <v>36</v>
      </c>
      <c r="B22" s="7" t="s">
        <v>37</v>
      </c>
    </row>
    <row r="23" spans="1:6" x14ac:dyDescent="0.35">
      <c r="A23" s="3" t="s">
        <v>38</v>
      </c>
      <c r="B23" s="5" t="s">
        <v>39</v>
      </c>
    </row>
    <row r="24" spans="1:6" x14ac:dyDescent="0.35">
      <c r="A24" s="3" t="s">
        <v>40</v>
      </c>
      <c r="B24" s="6" t="s">
        <v>41</v>
      </c>
    </row>
    <row r="25" spans="1:6" x14ac:dyDescent="0.35">
      <c r="A25" s="3" t="s">
        <v>42</v>
      </c>
      <c r="B25" s="7" t="s">
        <v>43</v>
      </c>
    </row>
    <row r="26" spans="1:6" x14ac:dyDescent="0.35">
      <c r="A26" s="3" t="s">
        <v>44</v>
      </c>
      <c r="B26" s="5" t="s">
        <v>45</v>
      </c>
    </row>
    <row r="27" spans="1:6" x14ac:dyDescent="0.35">
      <c r="A27" s="3" t="s">
        <v>46</v>
      </c>
      <c r="B27" s="6" t="s">
        <v>47</v>
      </c>
    </row>
    <row r="28" spans="1:6" x14ac:dyDescent="0.35">
      <c r="A28" s="3"/>
      <c r="B28" s="8"/>
    </row>
    <row r="29" spans="1:6" x14ac:dyDescent="0.35">
      <c r="A29" s="3" t="s">
        <v>48</v>
      </c>
      <c r="B29" s="1" t="s">
        <v>49</v>
      </c>
    </row>
    <row r="30" spans="1:6" x14ac:dyDescent="0.35">
      <c r="A30" s="3" t="s">
        <v>50</v>
      </c>
      <c r="B30" s="9" t="s">
        <v>51</v>
      </c>
    </row>
    <row r="31" spans="1:6" x14ac:dyDescent="0.35">
      <c r="A31" s="3" t="s">
        <v>52</v>
      </c>
      <c r="B31" s="9" t="s">
        <v>53</v>
      </c>
    </row>
    <row r="32" spans="1:6" x14ac:dyDescent="0.35">
      <c r="A32" s="3" t="s">
        <v>54</v>
      </c>
      <c r="B32" s="10" t="s">
        <v>55</v>
      </c>
    </row>
    <row r="33" spans="1:2" x14ac:dyDescent="0.35">
      <c r="A33" s="3" t="s">
        <v>56</v>
      </c>
      <c r="B33" s="11" t="s">
        <v>57</v>
      </c>
    </row>
    <row r="34" spans="1:2" x14ac:dyDescent="0.35">
      <c r="A34" s="3" t="s">
        <v>58</v>
      </c>
      <c r="B34" s="11" t="s">
        <v>59</v>
      </c>
    </row>
    <row r="35" spans="1:2" x14ac:dyDescent="0.35">
      <c r="A35" s="3" t="s">
        <v>60</v>
      </c>
      <c r="B35" s="11" t="s">
        <v>61</v>
      </c>
    </row>
    <row r="36" spans="1:2" x14ac:dyDescent="0.35">
      <c r="A36" s="3" t="s">
        <v>62</v>
      </c>
      <c r="B36" s="9" t="s">
        <v>57</v>
      </c>
    </row>
    <row r="37" spans="1:2" x14ac:dyDescent="0.35">
      <c r="A37" s="3" t="s">
        <v>63</v>
      </c>
      <c r="B37" s="9" t="s">
        <v>57</v>
      </c>
    </row>
    <row r="38" spans="1:2" x14ac:dyDescent="0.35">
      <c r="A38" s="3" t="s">
        <v>64</v>
      </c>
      <c r="B38" s="9" t="s">
        <v>57</v>
      </c>
    </row>
    <row r="39" spans="1:2" x14ac:dyDescent="0.35">
      <c r="A39" s="3" t="s">
        <v>65</v>
      </c>
      <c r="B39" s="5" t="s">
        <v>57</v>
      </c>
    </row>
    <row r="40" spans="1:2" x14ac:dyDescent="0.35">
      <c r="A40" s="3" t="s">
        <v>66</v>
      </c>
      <c r="B40" s="7" t="s">
        <v>57</v>
      </c>
    </row>
    <row r="41" spans="1:2" x14ac:dyDescent="0.35">
      <c r="A41" s="3"/>
      <c r="B41" s="4"/>
    </row>
    <row r="42" spans="1:2" x14ac:dyDescent="0.35">
      <c r="A42" s="3" t="s">
        <v>67</v>
      </c>
      <c r="B42" s="5" t="s">
        <v>68</v>
      </c>
    </row>
    <row r="43" spans="1:2" x14ac:dyDescent="0.35">
      <c r="A43" s="12"/>
      <c r="B43" s="12"/>
    </row>
    <row r="44" spans="1:2" x14ac:dyDescent="0.35">
      <c r="A44" s="19" t="s">
        <v>69</v>
      </c>
      <c r="B44" s="17" t="s">
        <v>70</v>
      </c>
    </row>
    <row r="45" spans="1:2" x14ac:dyDescent="0.35">
      <c r="A45" s="19"/>
      <c r="B45" s="18"/>
    </row>
  </sheetData>
  <mergeCells count="7">
    <mergeCell ref="A6:C9"/>
    <mergeCell ref="B44:B45"/>
    <mergeCell ref="A44:A45"/>
    <mergeCell ref="E15:F15"/>
    <mergeCell ref="E16:F16"/>
    <mergeCell ref="E17:F17"/>
    <mergeCell ref="D14:F14"/>
  </mergeCells>
  <hyperlinks>
    <hyperlink ref="C2" location="Parts!A1" display="PCB Ordering Form" xr:uid="{5BD62FCA-F6DF-43B0-A303-E811D82A57C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8A313CAD2CFB1439C42E46D45F4639D" ma:contentTypeVersion="8" ma:contentTypeDescription="Create a new document." ma:contentTypeScope="" ma:versionID="956257dc8b28f66b21faf51365bd6faf">
  <xsd:schema xmlns:xsd="http://www.w3.org/2001/XMLSchema" xmlns:xs="http://www.w3.org/2001/XMLSchema" xmlns:p="http://schemas.microsoft.com/office/2006/metadata/properties" xmlns:ns2="81630452-b731-4eac-8e07-da0419649b63" targetNamespace="http://schemas.microsoft.com/office/2006/metadata/properties" ma:root="true" ma:fieldsID="7853f86c278737967968fb6c721d15d0" ns2:_="">
    <xsd:import namespace="81630452-b731-4eac-8e07-da0419649b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630452-b731-4eac-8e07-da0419649b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1705BF-767D-47DE-8494-D4E57FBB3BDB}">
  <ds:schemaRefs>
    <ds:schemaRef ds:uri="http://purl.org/dc/dcmitype/"/>
    <ds:schemaRef ds:uri="http://purl.org/dc/elements/1.1/"/>
    <ds:schemaRef ds:uri="http://schemas.openxmlformats.org/package/2006/metadata/core-properties"/>
    <ds:schemaRef ds:uri="http://schemas.microsoft.com/office/2006/metadata/properties"/>
    <ds:schemaRef ds:uri="http://www.w3.org/XML/1998/namespace"/>
    <ds:schemaRef ds:uri="http://schemas.microsoft.com/office/2006/documentManagement/types"/>
    <ds:schemaRef ds:uri="http://schemas.microsoft.com/office/infopath/2007/PartnerControls"/>
    <ds:schemaRef ds:uri="81630452-b731-4eac-8e07-da0419649b63"/>
    <ds:schemaRef ds:uri="http://purl.org/dc/terms/"/>
  </ds:schemaRefs>
</ds:datastoreItem>
</file>

<file path=customXml/itemProps2.xml><?xml version="1.0" encoding="utf-8"?>
<ds:datastoreItem xmlns:ds="http://schemas.openxmlformats.org/officeDocument/2006/customXml" ds:itemID="{08D5A831-16BD-426B-B0C2-8C1B16D2C046}">
  <ds:schemaRefs>
    <ds:schemaRef ds:uri="http://schemas.microsoft.com/sharepoint/v3/contenttype/forms"/>
  </ds:schemaRefs>
</ds:datastoreItem>
</file>

<file path=customXml/itemProps3.xml><?xml version="1.0" encoding="utf-8"?>
<ds:datastoreItem xmlns:ds="http://schemas.openxmlformats.org/officeDocument/2006/customXml" ds:itemID="{91A39232-60A8-4F8E-AFDD-BB04C6B65B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630452-b731-4eac-8e07-da0419649b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Parts</vt:lpstr>
      <vt:lpstr>PCB Ordering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dc:creator>
  <cp:keywords/>
  <dc:description/>
  <cp:lastModifiedBy>Marrero, Edwin</cp:lastModifiedBy>
  <cp:revision/>
  <dcterms:created xsi:type="dcterms:W3CDTF">2020-01-29T22:23:18Z</dcterms:created>
  <dcterms:modified xsi:type="dcterms:W3CDTF">2026-02-19T18:42:36Z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0x010100A8A313CAD2CFB1439C42E46D45F4639D</vt:lpwstr>
  </property>
</Properties>
</file>