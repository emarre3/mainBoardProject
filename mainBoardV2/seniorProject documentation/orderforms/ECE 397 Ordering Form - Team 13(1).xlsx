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DEAF2991-CDC1-41FE-BAA6-910E12391B87}" xr6:coauthVersionLast="47" xr6:coauthVersionMax="47" xr10:uidLastSave="{00000000-0000-0000-0000-000000000000}"/>
  <bookViews>
    <workbookView xWindow="28680" yWindow="-120" windowWidth="29040" windowHeight="15720" xr2:uid="{F159759B-F060-4123-A196-5B55F2478EE1}"/>
  </bookViews>
  <sheets>
    <sheet name="Parts v3 (current)" sheetId="4" r:id="rId1"/>
    <sheet name="Parts v2 (old)" sheetId="3" r:id="rId2"/>
    <sheet name="Parts v1 (old)" sheetId="1" r:id="rId3"/>
    <sheet name="PCB Ordering"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7" i="4" l="1"/>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3" i="4"/>
  <c r="J12"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1" i="3"/>
  <c r="J10" i="3"/>
  <c r="J9" i="3"/>
  <c r="J8" i="3"/>
  <c r="J7" i="3"/>
  <c r="J6" i="3"/>
  <c r="J5" i="3"/>
  <c r="J3" i="3"/>
  <c r="J5" i="1"/>
  <c r="J6" i="1"/>
  <c r="J7" i="1"/>
  <c r="J8" i="1"/>
  <c r="J9" i="1"/>
  <c r="J34" i="1"/>
  <c r="J35" i="1"/>
  <c r="J36" i="1"/>
  <c r="J37" i="1"/>
  <c r="J38" i="1"/>
  <c r="J39" i="1"/>
  <c r="J40" i="1"/>
  <c r="J41" i="1"/>
  <c r="J42" i="1"/>
  <c r="J43" i="1"/>
  <c r="J44" i="1"/>
  <c r="J45" i="1"/>
  <c r="J46" i="1"/>
  <c r="J47" i="1"/>
  <c r="J48" i="1"/>
  <c r="J49" i="1"/>
  <c r="J50" i="1"/>
  <c r="J51" i="1"/>
  <c r="J52" i="1"/>
  <c r="J53" i="1"/>
  <c r="J25" i="1"/>
  <c r="J26" i="1"/>
  <c r="J27" i="1"/>
  <c r="J28" i="1"/>
  <c r="J29" i="1"/>
  <c r="J30" i="1"/>
  <c r="J31" i="1"/>
  <c r="J32" i="1"/>
  <c r="J33" i="1"/>
  <c r="J10" i="1"/>
  <c r="J11" i="1"/>
  <c r="J12" i="1"/>
  <c r="J13" i="1"/>
  <c r="J14" i="1"/>
  <c r="J15" i="1"/>
  <c r="J16" i="1"/>
  <c r="J17" i="1"/>
  <c r="J18" i="1"/>
  <c r="J19" i="1"/>
  <c r="J20" i="1"/>
  <c r="J21" i="1"/>
  <c r="J22" i="1"/>
  <c r="J23" i="1"/>
  <c r="J24" i="1"/>
  <c r="J3" i="1" l="1"/>
</calcChain>
</file>

<file path=xl/sharedStrings.xml><?xml version="1.0" encoding="utf-8"?>
<sst xmlns="http://schemas.openxmlformats.org/spreadsheetml/2006/main" count="300" uniqueCount="153">
  <si>
    <t>Team Name: Team 13</t>
  </si>
  <si>
    <t>ECE Project Mentor: Dr. Ahmet Enis Cetin, aecyy@uic.edu</t>
  </si>
  <si>
    <t>Team Representative email: emarre3@uic.edu</t>
  </si>
  <si>
    <t>PCB Ordering Form</t>
  </si>
  <si>
    <t>ECE 397 Professor: Dr. Matthew Alonso, malonso2@uic.edu</t>
  </si>
  <si>
    <t>Total:</t>
  </si>
  <si>
    <t>Preferred Delivery date:</t>
  </si>
  <si>
    <t>Line Number</t>
  </si>
  <si>
    <t>Vendor</t>
  </si>
  <si>
    <t>Manufacturer</t>
  </si>
  <si>
    <t>Name of Part</t>
  </si>
  <si>
    <t>Vendor Part Number</t>
  </si>
  <si>
    <t>Manufacturer Part Number</t>
  </si>
  <si>
    <t>Description</t>
  </si>
  <si>
    <t xml:space="preserve">Quantity </t>
  </si>
  <si>
    <t>Unit Cost</t>
  </si>
  <si>
    <t>Total Price</t>
  </si>
  <si>
    <t>Website Link</t>
  </si>
  <si>
    <t>DigiKey</t>
  </si>
  <si>
    <t>Espressif Systems</t>
  </si>
  <si>
    <t>ESP32 DevkitC v4</t>
  </si>
  <si>
    <t>1965-ESP32-DEVKITC-32E-ND</t>
  </si>
  <si>
    <t>ESP32-DEVKITC-32E</t>
  </si>
  <si>
    <t>ESP32-WROOM-32E 4MB FLASH</t>
  </si>
  <si>
    <t>https://www.digikey.com/en/products/detail/espressif-systems/ESP32-DEVKITC-32E/12091810</t>
  </si>
  <si>
    <t>ProtoSupplies</t>
  </si>
  <si>
    <t>ProtoSupplies(?)</t>
  </si>
  <si>
    <t>MPU-6050 GY-521 3-Axis Accel &amp; Gryo Sensor Module</t>
  </si>
  <si>
    <t>MOD-106</t>
  </si>
  <si>
    <t xml:space="preserve">gyroscope/accelermoter module - requires soldering </t>
  </si>
  <si>
    <t>https://protosupplies.com/product/mpu-6050-gy-521-3-axis-accel-gryo-sensor-module/</t>
  </si>
  <si>
    <t>CANADUINO</t>
  </si>
  <si>
    <t>ESP32-S</t>
  </si>
  <si>
    <t>3647-26387-ND</t>
  </si>
  <si>
    <t>ESP32-CAM 2MP WIFI+BT AI-THINKER</t>
  </si>
  <si>
    <t>https://www.digikey.com/en/products/detail/universal-solder-electronics-ltd/26387/14319859</t>
  </si>
  <si>
    <t>Würth Elektronik</t>
  </si>
  <si>
    <t>Push Button</t>
  </si>
  <si>
    <t>732-7004-2-ND</t>
  </si>
  <si>
    <t>4301 8204 3816</t>
  </si>
  <si>
    <t>tactile switch</t>
  </si>
  <si>
    <t>https://www.digikey.com/en/products/detail/c-k/Y41A00521FPLFS/1466352</t>
  </si>
  <si>
    <t>adafruit</t>
  </si>
  <si>
    <t>Battery 4400mAh</t>
  </si>
  <si>
    <t>Lithium Ion Battery Pack 3.7V, 4400 mAh</t>
  </si>
  <si>
    <t>https://www.adafruit.com/product/354</t>
  </si>
  <si>
    <t>E-Switch</t>
  </si>
  <si>
    <t>Rocker Switch</t>
  </si>
  <si>
    <t>RA11131100-ND</t>
  </si>
  <si>
    <t>RA11131100</t>
  </si>
  <si>
    <t>on/off switch</t>
  </si>
  <si>
    <t>https://www.digikey.com/en/products/detail/e-switch/RA11131100/3778054</t>
  </si>
  <si>
    <t>newegg</t>
  </si>
  <si>
    <t>YINGHUA</t>
  </si>
  <si>
    <t>FT232RL FTDI USB 3.3V 5.5V to TTL Serial Adapter Module</t>
  </si>
  <si>
    <t>9SIASDGKDU9767</t>
  </si>
  <si>
    <t>adapter to program ESP32-CAM modules</t>
  </si>
  <si>
    <t>https://www.newegg.com/p/2S7-090G-01K74</t>
  </si>
  <si>
    <t>Mouser Electronics</t>
  </si>
  <si>
    <t>TinyCircuits</t>
  </si>
  <si>
    <t>Battery Packs Lithium Ion Polymer Battery - 3.7V 1000mAh</t>
  </si>
  <si>
    <t>406-ASR00012</t>
  </si>
  <si>
    <t>ASR00012</t>
  </si>
  <si>
    <t>datasheet - https://www.mouser.com/datasheet/3/1524/1/ASR00012_1000mAh.pdf</t>
  </si>
  <si>
    <t>https://www.mouser.com/c/power/batteries/battery-packs/?battery%20chemistry=Lithium%20Ion%20Polymer%20%28LiPo%29</t>
  </si>
  <si>
    <t>ESP32-CAM 2MP WIFI+BT AI-THINKER (2-pack, wroover)</t>
  </si>
  <si>
    <t>https://www.amazon.com/HiLetgo-ESP32-CAM-Development-Bluetooth-Raspberry/dp/B07RXPHYNM?crid=HQ7EGMZV8O3F&amp;dib=eyJ2IjoiMSJ9.0WbOFxop-ig-2MpjlXinhEqFhmd6gfNfiNi4YTfVYvP1Kkcj-SURMcu4wpPHajyHRCKsBTkkFgR7AZ5HcEK3oKt_l198j0r2zGBJNOcpYDjvhTVD37Bj9mr5dnyPFciQJTv8qlPGJxmvpISdFqAEVbKhgk5MqBBjvIiBQWs5BCbUnUHaamxq2Q5JDHOHPo5SBt_0FPHKtsm-RJyrjZS9OST3ZyYU26Bh8HIyJPPOUQo.9BDOeYdxQjzJAIcEG5UB_0-6N5FNOCLvdzscQ37VBrc&amp;dib_tag=se&amp;keywords=ESP32%2C+OV2640+ESP32-S+Image+Sensor+Senso&amp;qid=1771510083&amp;sprefix=esp32%2C+ov2640+esp32-s+image+sensor+senso%2Caps%2C125&amp;sr=8-8</t>
  </si>
  <si>
    <t>adapter to program ESP32-CAM modules(2-pack)</t>
  </si>
  <si>
    <t>https://www.amazon.com/HiLetgo-FT232RL-Converter-Adapter-Breakout/dp/B0FRCSXT6K?crid=2R6657ACJ9W3M&amp;dib=eyJ2IjoiMSJ9.buA9uzSnyBZxXabak4AhdUvlrrg1nGhEYlJHyOzfg5UXOpk-fTCIaRjsdQsvwfnSm2vrut--C3QGlvZe4tSPcZ7cLyd-bk0xTHeqvPIwMNb8kgbw-HQy1EmytHpNZ9ogE2ukr_oRYUhM31mNN6i_rvQ6Ba0fAB_BTsK1DwEcnCGkMoBf4Wld1NUaWTR_BDgvSgyvClGSWhzSKGEY6AGneKdDIKytPJfMiKdlVOlB63c.lQnprOFJSbeIeCzkh5Tykrx3ocSrcHlXVSyFV0YGzB4&amp;dib_tag=se&amp;keywords=FT232RL%2BFTDI%2BUSB%2B3.3V%2B5.5V%2Bto%2BTTL%2BSerial%2BAdapter%2BModule%2Bfor%2BFT232%2BMini%2BPort&amp;nsdOptOutParam=true&amp;qid=1771509988&amp;sprefix=ft232rl%2Bftdi%2Busb%2B3.3v%2B5.5v%2Bto%2Bttl%2Bserial%2Badapter%2Bmodule%2Bfor%2Bft232%2Bmini%2Bport%2Caps%2C155&amp;sr=8-2-spons&amp;sp_csd=d2lkZ2V0TmFtZT1zcF9hdGY&amp;th=1</t>
  </si>
  <si>
    <t>ESP32 DevkitC-32E</t>
  </si>
  <si>
    <t>ELECROW</t>
  </si>
  <si>
    <t>JSN-SR04T-2.0</t>
  </si>
  <si>
    <t>SP0433B02</t>
  </si>
  <si>
    <t>Water proof Integrated Ultrasonic Ranging Module</t>
  </si>
  <si>
    <t>https://www.elecrow.com/water-proof-integrated-ultrasonic-ranging-module-jsnb02-p-1202.html</t>
  </si>
  <si>
    <t>gyroscope/accelermoter module</t>
  </si>
  <si>
    <t>Shenzhen Fedy Technology Co., LTD</t>
  </si>
  <si>
    <t>Diffused RGB (tri-color) LED - Common Anode</t>
  </si>
  <si>
    <t>FD-5WSRGB-A</t>
  </si>
  <si>
    <t>tri-color led; common-anode configuration</t>
  </si>
  <si>
    <t>https://www.adafruit.com/product/159</t>
  </si>
  <si>
    <t>Boost converter</t>
  </si>
  <si>
    <t>9SIB6HJKJU4218</t>
  </si>
  <si>
    <t>Boost converters/Battery chargers</t>
  </si>
  <si>
    <t>https://www.newegg.com/p/285-001V-00080</t>
  </si>
  <si>
    <t>Ace</t>
  </si>
  <si>
    <t>Waterproof Box</t>
  </si>
  <si>
    <t>ACE320070 </t>
  </si>
  <si>
    <t xml:space="preserve">clear, hard plastic. 4-7/16 in. W x 7-7/16 in </t>
  </si>
  <si>
    <t>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t>
  </si>
  <si>
    <t>Battery 400 mAh</t>
  </si>
  <si>
    <t>Lithium Ion Polymer Battery; 3.7V, 400 mAh</t>
  </si>
  <si>
    <t>https://www.adafruit.com/product/3898</t>
  </si>
  <si>
    <t>Will not be ordered just yet. See "Parts v2" tab</t>
  </si>
  <si>
    <t>Other potential parts</t>
  </si>
  <si>
    <t>Team Name:</t>
  </si>
  <si>
    <t>ECE Project Mentor (Name and Email):</t>
  </si>
  <si>
    <t>Team Representative email</t>
  </si>
  <si>
    <t>Parts Ordering Form</t>
  </si>
  <si>
    <t>ECE 397 Professor (Name and Email):</t>
  </si>
  <si>
    <t>PCB Orders</t>
  </si>
  <si>
    <t xml:space="preserve">The PCB specifications below are the default options. If your peject calls for different specifications edit them as needed. If you don't know if your PCB needs non standared specificatins schedule a meeting with Ricardo. </t>
  </si>
  <si>
    <t>Specification</t>
  </si>
  <si>
    <t>Key</t>
  </si>
  <si>
    <t>Base Material</t>
  </si>
  <si>
    <t>FR-4</t>
  </si>
  <si>
    <t xml:space="preserve">Green </t>
  </si>
  <si>
    <t>Edit freely</t>
  </si>
  <si>
    <t>Number of Layers</t>
  </si>
  <si>
    <t>Yellow</t>
  </si>
  <si>
    <t>Requires meeting if something else is needed</t>
  </si>
  <si>
    <t xml:space="preserve">Expected Dimenions </t>
  </si>
  <si>
    <t>Orange</t>
  </si>
  <si>
    <t>Cannot change</t>
  </si>
  <si>
    <t>PCB Qty (multiples of 5)</t>
  </si>
  <si>
    <t>Product Type</t>
  </si>
  <si>
    <t>Industrial/ Consumer electronics</t>
  </si>
  <si>
    <t xml:space="preserve">Differnt Design </t>
  </si>
  <si>
    <t xml:space="preserve">Dilivery Format </t>
  </si>
  <si>
    <t>Single PCB</t>
  </si>
  <si>
    <t>PCB Thickness</t>
  </si>
  <si>
    <t>1.6mm</t>
  </si>
  <si>
    <t>PCB Color</t>
  </si>
  <si>
    <t>Green</t>
  </si>
  <si>
    <t xml:space="preserve">Silkscreen </t>
  </si>
  <si>
    <t>White</t>
  </si>
  <si>
    <t>Material Type</t>
  </si>
  <si>
    <t>FR4 TG135</t>
  </si>
  <si>
    <t>Surface Finish</t>
  </si>
  <si>
    <t>HASL (with lead)</t>
  </si>
  <si>
    <t>Outer Copper Weight</t>
  </si>
  <si>
    <t>1 oz</t>
  </si>
  <si>
    <t>Via Covering</t>
  </si>
  <si>
    <t>Tented</t>
  </si>
  <si>
    <t>Min via hole size/diameter</t>
  </si>
  <si>
    <t>0.3mm/(0.4/0/45mm)</t>
  </si>
  <si>
    <t xml:space="preserve">Board Outline Tolerance </t>
  </si>
  <si>
    <t>+/- 0.2mm(Regular)</t>
  </si>
  <si>
    <t>Confirm Production File</t>
  </si>
  <si>
    <t>No</t>
  </si>
  <si>
    <t>Mark on PCB</t>
  </si>
  <si>
    <t>Remove Mark</t>
  </si>
  <si>
    <t>Electrical Test</t>
  </si>
  <si>
    <t>Flying Probe Fully Test</t>
  </si>
  <si>
    <t>Gold Fingers</t>
  </si>
  <si>
    <t>Castellated Holes</t>
  </si>
  <si>
    <t>Edge Plating</t>
  </si>
  <si>
    <t>Blined Slots</t>
  </si>
  <si>
    <t>UL Marking</t>
  </si>
  <si>
    <t>PCB Assembly</t>
  </si>
  <si>
    <t>Meeting Required if needed</t>
  </si>
  <si>
    <t xml:space="preserve">Stencil </t>
  </si>
  <si>
    <t>if SMD (recommended) 
if through hole (not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</si>
</sst>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u/>
      <sz val="16"/>
      <color theme="1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1" fillId="0" borderId="0" xfId="1"/>
    <xf numFmtId="0" fontId="0" fillId="0" borderId="0" xfId="0" applyAlignment="1">
      <alignment horizontal="center"/>
    </xf>
    <xf numFmtId="0" fontId="0" fillId="3" borderId="1" xfId="0" applyFill="1" applyBorder="1" applyAlignment="1">
      <alignment horizontal="center"/>
    </xf>
    <xf numFmtId="0" fontId="0" fillId="3" borderId="1" xfId="0" applyFill="1" applyBorder="1"/>
    <xf numFmtId="0" fontId="0" fillId="2" borderId="1" xfId="0" applyFill="1" applyBorder="1" applyAlignment="1">
      <alignment horizontal="center"/>
    </xf>
    <xf numFmtId="0" fontId="0" fillId="2" borderId="1" xfId="0" applyFill="1" applyBorder="1"/>
    <xf numFmtId="0" fontId="2" fillId="0" borderId="0" xfId="1" applyFont="1" applyFill="1"/>
    <xf numFmtId="0" fontId="0" fillId="0" borderId="1" xfId="0" applyBorder="1"/>
    <xf numFmtId="0" fontId="0" fillId="0" borderId="1" xfId="0" applyBorder="1" applyAlignment="1">
      <alignment horizontal="center"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xf>
    <xf numFmtId="0" fontId="0" fillId="5" borderId="1" xfId="0" applyFill="1" applyBorder="1" applyAlignment="1">
      <alignment horizontal="center"/>
    </xf>
    <xf numFmtId="49" fontId="0" fillId="4" borderId="1" xfId="0" applyNumberFormat="1" applyFill="1" applyBorder="1" applyAlignment="1">
      <alignment horizontal="center"/>
    </xf>
    <xf numFmtId="0" fontId="0" fillId="4" borderId="1" xfId="0" applyFill="1" applyBorder="1" applyAlignment="1">
      <alignment horizontal="center"/>
    </xf>
    <xf numFmtId="0" fontId="0" fillId="0" borderId="2" xfId="0" applyBorder="1"/>
    <xf numFmtId="0" fontId="0" fillId="5" borderId="3" xfId="0" applyFill="1" applyBorder="1"/>
    <xf numFmtId="0" fontId="0" fillId="4" borderId="3" xfId="0" applyFill="1" applyBorder="1"/>
    <xf numFmtId="0" fontId="0" fillId="2" borderId="4" xfId="0" applyFill="1" applyBorder="1"/>
    <xf numFmtId="0" fontId="0" fillId="0" borderId="0" xfId="0" applyAlignment="1">
      <alignment wrapText="1"/>
    </xf>
    <xf numFmtId="0" fontId="0" fillId="6" borderId="0" xfId="0" applyFill="1" applyAlignment="1">
      <alignment horizontal="center"/>
    </xf>
    <xf numFmtId="0" fontId="0" fillId="6" borderId="0" xfId="0" applyFill="1"/>
    <xf numFmtId="0" fontId="1" fillId="6" borderId="0" xfId="1" applyFill="1"/>
    <xf numFmtId="0" fontId="0" fillId="6" borderId="0" xfId="0" applyFill="1" applyAlignment="1">
      <alignment wrapText="1"/>
    </xf>
    <xf numFmtId="0" fontId="0" fillId="7" borderId="0" xfId="0" applyFill="1" applyAlignment="1">
      <alignment wrapText="1"/>
    </xf>
    <xf numFmtId="0" fontId="0" fillId="7" borderId="0" xfId="0" applyFill="1" applyAlignment="1">
      <alignment horizontal="center"/>
    </xf>
    <xf numFmtId="0" fontId="0" fillId="7" borderId="0" xfId="0" applyFill="1"/>
    <xf numFmtId="0" fontId="1" fillId="7" borderId="0" xfId="1" applyFill="1"/>
    <xf numFmtId="0" fontId="0" fillId="3" borderId="0" xfId="0" applyFill="1" applyAlignment="1">
      <alignment horizontal="center"/>
    </xf>
    <xf numFmtId="0" fontId="0" fillId="3" borderId="0" xfId="0" applyFill="1" applyAlignment="1">
      <alignment wrapText="1"/>
    </xf>
    <xf numFmtId="0" fontId="0" fillId="3" borderId="0" xfId="0" applyFill="1"/>
    <xf numFmtId="0" fontId="1" fillId="3" borderId="0" xfId="1" applyFill="1"/>
    <xf numFmtId="0" fontId="0" fillId="5" borderId="0" xfId="0" applyFill="1"/>
    <xf numFmtId="0" fontId="1" fillId="5" borderId="0" xfId="1" applyFill="1"/>
    <xf numFmtId="49" fontId="0" fillId="0" borderId="1" xfId="0" applyNumberFormat="1" applyBorder="1" applyAlignment="1">
      <alignment horizontal="left" vertical="center" wrapText="1"/>
    </xf>
    <xf numFmtId="49" fontId="0" fillId="2" borderId="1" xfId="0" applyNumberFormat="1" applyFill="1" applyBorder="1" applyAlignment="1">
      <alignment wrapText="1"/>
    </xf>
    <xf numFmtId="0" fontId="0" fillId="0" borderId="1" xfId="0" applyBorder="1" applyAlignment="1">
      <alignment horizontal="left" vertical="center"/>
    </xf>
    <xf numFmtId="0" fontId="0" fillId="2" borderId="5" xfId="0" applyFill="1" applyBorder="1" applyAlignment="1">
      <alignment horizontal="left"/>
    </xf>
    <xf numFmtId="0" fontId="0" fillId="5" borderId="1" xfId="0" applyFill="1" applyBorder="1" applyAlignment="1">
      <alignment horizontal="left"/>
    </xf>
    <xf numFmtId="0" fontId="0" fillId="4" borderId="1" xfId="0" applyFill="1" applyBorder="1" applyAlignment="1">
      <alignment horizontal="left"/>
    </xf>
    <xf numFmtId="0" fontId="0" fillId="0" borderId="1" xfId="0" applyBorder="1" applyAlignment="1">
      <alignment horizontal="left"/>
    </xf>
    <xf numFmtId="49" fontId="0" fillId="2" borderId="1" xfId="0" applyNumberForma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ouser.com/c/power/batteries/battery-packs/?battery%20chemistry=Lithium%20Ion%20Polymer%20%28LiPo%29" TargetMode="External"/><Relationship Id="rId3" Type="http://schemas.openxmlformats.org/officeDocument/2006/relationships/hyperlink" Target="https://www.digikey.com/en/products/detail/universal-solder-electronics-ltd/26387/14319859" TargetMode="External"/><Relationship Id="rId7" Type="http://schemas.openxmlformats.org/officeDocument/2006/relationships/hyperlink" Target="https://www.digikey.com/en/products/detail/e-switch/RA11131100/3778054" TargetMode="External"/><Relationship Id="rId2" Type="http://schemas.openxmlformats.org/officeDocument/2006/relationships/hyperlink" Target="https://www.adafruit.com/product/354" TargetMode="External"/><Relationship Id="rId1" Type="http://schemas.openxmlformats.org/officeDocument/2006/relationships/hyperlink" Target="https://www.digikey.com/en/products/detail/c-k/Y41A00521FPLFS/1466352" TargetMode="External"/><Relationship Id="rId6" Type="http://schemas.openxmlformats.org/officeDocument/2006/relationships/hyperlink" Target="https://protosupplies.com/product/mpu-6050-gy-521-3-axis-accel-gryo-sensor-module/" TargetMode="External"/><Relationship Id="rId5" Type="http://schemas.openxmlformats.org/officeDocument/2006/relationships/hyperlink" Target="https://www.digikey.com/en/products/detail/espressif-systems/ESP32-DEVKITC-32E/12091810" TargetMode="External"/><Relationship Id="rId4" Type="http://schemas.openxmlformats.org/officeDocument/2006/relationships/hyperlink" Target="https://www.newegg.com/p/2S7-090G-01K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mazon.com/HiLetgo-FT232RL-Converter-Adapter-Breakout/dp/B0FRCSXT6K?crid=2R6657ACJ9W3M&amp;dib=eyJ2IjoiMSJ9.buA9uzSnyBZxXabak4AhdUvlrrg1nGhEYlJHyOzfg5UXOpk-fTCIaRjsdQsvwfnSm2vrut--C3QGlvZe4tSPcZ7cLyd-bk0xTHeqvPIwMNb8kgbw-HQy1EmytHpNZ9ogE2ukr_oRYUhM31mNN6i_rvQ6Ba0fAB_BTsK1DwEcnCGkMoBf4Wld1NUaWTR_BDgvSgyvClGSWhzSKGEY6AGneKdDIKytPJfMiKdlVOlB63c.lQnprOFJSbeIeCzkh5Tykrx3ocSrcHlXVSyFV0YGzB4&amp;dib_tag=se&amp;keywords=FT232RL%2BFTDI%2BUSB%2B3.3V%2B5.5V%2Bto%2BTTL%2BSerial%2BAdapter%2BModule%2Bfor%2BFT232%2BMini%2BPort&amp;nsdOptOutParam=true&amp;qid=1771509988&amp;sprefix=ft232rl%2Bftdi%2Busb%2B3.3v%2B5.5v%2Bto%2Bttl%2Bserial%2Badapter%2Bmodule%2Bfor%2Bft232%2Bmini%2Bport%2Caps%2C155&amp;sr=8-2-spons&amp;sp_csd=d2lkZ2V0TmFtZT1zcF9hdGY&amp;th=1" TargetMode="External"/><Relationship Id="rId3" Type="http://schemas.openxmlformats.org/officeDocument/2006/relationships/hyperlink" Target="https://www.amazon.com/HiLetgo-ESP32-CAM-Development-Bluetooth-Raspberry/dp/B07RXPHYNM?crid=HQ7EGMZV8O3F&amp;dib=eyJ2IjoiMSJ9.0WbOFxop-ig-2MpjlXinhEqFhmd6gfNfiNi4YTfVYvP1Kkcj-SURMcu4wpPHajyHRCKsBTkkFgR7AZ5HcEK3oKt_l198j0r2zGBJNOcpYDjvhTVD37Bj9mr5dnyPFciQJTv8qlPGJxmvpISdFqAEVbKhgk5MqBBjvIiBQWs5BCbUnUHaamxq2Q5JDHOHPo5SBt_0FPHKtsm-RJyrjZS9OST3ZyYU26Bh8HIyJPPOUQo.9BDOeYdxQjzJAIcEG5UB_0-6N5FNOCLvdzscQ37VBrc&amp;dib_tag=se&amp;keywords=ESP32%2C+OV2640+ESP32-S+Image+Sensor+Senso&amp;qid=1771510083&amp;sprefix=esp32%2C+ov2640+esp32-s+image+sensor+senso%2Caps%2C125&amp;sr=8-8" TargetMode="External"/><Relationship Id="rId7" Type="http://schemas.openxmlformats.org/officeDocument/2006/relationships/hyperlink" Target="https://www.mouser.com/c/power/batteries/battery-packs/?battery%20chemistry=Lithium%20Ion%20Polymer%20%28LiPo%29" TargetMode="External"/><Relationship Id="rId2" Type="http://schemas.openxmlformats.org/officeDocument/2006/relationships/hyperlink" Target="https://www.adafruit.com/product/354" TargetMode="External"/><Relationship Id="rId1" Type="http://schemas.openxmlformats.org/officeDocument/2006/relationships/hyperlink" Target="https://www.digikey.com/en/products/detail/c-k/Y41A00521FPLFS/1466352" TargetMode="External"/><Relationship Id="rId6" Type="http://schemas.openxmlformats.org/officeDocument/2006/relationships/hyperlink" Target="https://www.digikey.com/en/products/detail/e-switch/RA11131100/3778054" TargetMode="External"/><Relationship Id="rId5" Type="http://schemas.openxmlformats.org/officeDocument/2006/relationships/hyperlink" Target="https://protosupplies.com/product/mpu-6050-gy-521-3-axis-accel-gryo-sensor-module/" TargetMode="External"/><Relationship Id="rId4" Type="http://schemas.openxmlformats.org/officeDocument/2006/relationships/hyperlink" Target="https://www.digikey.com/en/products/detail/espressif-systems/ESP32-DEVKITC-32E/1209181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ewegg.com/p/2S7-090G-01K74" TargetMode="External"/><Relationship Id="rId13" Type="http://schemas.openxmlformats.org/officeDocument/2006/relationships/hyperlink" Target="https://www.mouser.com/c/power/batteries/battery-packs/?battery%20chemistry=Lithium%20Ion%20Polymer%20%28LiPo%29" TargetMode="External"/><Relationship Id="rId3" Type="http://schemas.openxmlformats.org/officeDocument/2006/relationships/hyperlink" Target="https://www.newegg.com/p/285-001V-00080" TargetMode="External"/><Relationship Id="rId7" Type="http://schemas.openxmlformats.org/officeDocument/2006/relationships/hyperlink" Target="https://www.digikey.com/en/products/detail/universal-solder-electronics-ltd/26387/14319859" TargetMode="External"/><Relationship Id="rId12" Type="http://schemas.openxmlformats.org/officeDocument/2006/relationships/hyperlink" Target="https://www.digikey.com/en/products/detail/e-switch/RA11131100/3778054" TargetMode="External"/><Relationship Id="rId2" Type="http://schemas.openxmlformats.org/officeDocument/2006/relationships/hyperlink" Target="https://www.digikey.com/en/products/detail/c-k/Y41A00521FPLFS/1466352" TargetMode="External"/><Relationship Id="rId1" Type="http://schemas.openxmlformats.org/officeDocument/2006/relationships/hyperlink" Target="https://www.elecrow.com/water-proof-integrated-ultrasonic-ranging-module-jsnb02-p-1202.html" TargetMode="External"/><Relationship Id="rId6" Type="http://schemas.openxmlformats.org/officeDocument/2006/relationships/hyperlink" Target="https://www.adafruit.com/product/3898" TargetMode="External"/><Relationship Id="rId11" Type="http://schemas.openxmlformats.org/officeDocument/2006/relationships/hyperlink" Target="https://protosupplies.com/product/mpu-6050-gy-521-3-axis-accel-gryo-sensor-module/" TargetMode="External"/><Relationship Id="rId5" Type="http://schemas.openxmlformats.org/officeDocument/2006/relationships/hyperlink" Target="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 TargetMode="External"/><Relationship Id="rId10" Type="http://schemas.openxmlformats.org/officeDocument/2006/relationships/hyperlink" Target="https://www.digikey.com/en/products/detail/espressif-systems/ESP32-DEVKITC-32E/12091810" TargetMode="External"/><Relationship Id="rId4" Type="http://schemas.openxmlformats.org/officeDocument/2006/relationships/hyperlink" Target="https://www.adafruit.com/product/354" TargetMode="External"/><Relationship Id="rId9" Type="http://schemas.openxmlformats.org/officeDocument/2006/relationships/hyperlink" Target="https://www.adafruit.com/product/159"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357DA-3B1D-4B17-A9BF-95CE10FA7376}">
  <dimension ref="A1:K47"/>
  <sheetViews>
    <sheetView tabSelected="1" zoomScaleNormal="100" workbookViewId="0">
      <pane ySplit="4" topLeftCell="F5" activePane="bottomLeft" state="frozen"/>
      <selection pane="bottomLeft" activeCell="K11" sqref="K11"/>
    </sheetView>
  </sheetViews>
  <sheetFormatPr defaultColWidth="8.85546875" defaultRowHeight="15"/>
  <cols>
    <col min="1" max="1" width="25.85546875" bestFit="1" customWidth="1"/>
    <col min="2" max="2" width="16.7109375" customWidth="1"/>
    <col min="3" max="3" width="18.140625" customWidth="1"/>
    <col min="4" max="4" width="21.140625" bestFit="1" customWidth="1"/>
    <col min="5" max="5" width="26.7109375" bestFit="1" customWidth="1"/>
    <col min="6" max="6" width="35.42578125" bestFit="1" customWidth="1"/>
    <col min="7" max="7" width="49.5703125" customWidth="1"/>
    <col min="8" max="8" width="9.7109375" customWidth="1"/>
    <col min="9" max="9" width="10.42578125" customWidth="1"/>
    <col min="10" max="10" width="15.140625" customWidth="1"/>
    <col min="11" max="11" width="255.7109375" bestFit="1" customWidth="1"/>
  </cols>
  <sheetData>
    <row r="1" spans="1:11">
      <c r="A1" t="s">
        <v>0</v>
      </c>
      <c r="F1" t="s">
        <v>1</v>
      </c>
    </row>
    <row r="2" spans="1:11" ht="21">
      <c r="A2" t="s">
        <v>2</v>
      </c>
      <c r="C2" s="7" t="s">
        <v>3</v>
      </c>
      <c r="F2" t="s">
        <v>4</v>
      </c>
      <c r="G2" s="1"/>
      <c r="J2" t="s">
        <v>5</v>
      </c>
    </row>
    <row r="3" spans="1:11">
      <c r="A3" t="s">
        <v>6</v>
      </c>
      <c r="G3" s="1"/>
      <c r="J3">
        <f>SUM(J5:J11)</f>
        <v>83.62</v>
      </c>
    </row>
    <row r="4" spans="1:11" s="4" customFormat="1">
      <c r="A4" s="3" t="s">
        <v>7</v>
      </c>
      <c r="B4" s="5" t="s">
        <v>8</v>
      </c>
      <c r="C4" s="5" t="s">
        <v>9</v>
      </c>
      <c r="D4" s="3" t="s">
        <v>10</v>
      </c>
      <c r="E4" s="3" t="s">
        <v>11</v>
      </c>
      <c r="F4" s="5" t="s">
        <v>12</v>
      </c>
      <c r="G4" s="3" t="s">
        <v>13</v>
      </c>
      <c r="H4" s="5" t="s">
        <v>14</v>
      </c>
      <c r="I4" s="5" t="s">
        <v>15</v>
      </c>
      <c r="J4" s="3" t="s">
        <v>16</v>
      </c>
      <c r="K4" s="6" t="s">
        <v>17</v>
      </c>
    </row>
    <row r="5" spans="1:11">
      <c r="A5" s="2">
        <v>1</v>
      </c>
      <c r="B5" t="s">
        <v>18</v>
      </c>
      <c r="C5" t="s">
        <v>19</v>
      </c>
      <c r="D5" t="s">
        <v>20</v>
      </c>
      <c r="E5" t="s">
        <v>21</v>
      </c>
      <c r="F5" t="s">
        <v>22</v>
      </c>
      <c r="G5" t="s">
        <v>23</v>
      </c>
      <c r="H5">
        <v>1</v>
      </c>
      <c r="I5">
        <v>10</v>
      </c>
      <c r="J5">
        <f>H5*I5</f>
        <v>10</v>
      </c>
      <c r="K5" s="1" t="s">
        <v>24</v>
      </c>
    </row>
    <row r="6" spans="1:11" ht="45.75">
      <c r="A6" s="2">
        <v>2</v>
      </c>
      <c r="B6" t="s">
        <v>25</v>
      </c>
      <c r="C6" t="s">
        <v>26</v>
      </c>
      <c r="D6" s="21" t="s">
        <v>27</v>
      </c>
      <c r="E6" t="s">
        <v>28</v>
      </c>
      <c r="F6" t="s">
        <v>28</v>
      </c>
      <c r="G6" t="s">
        <v>29</v>
      </c>
      <c r="H6">
        <v>1</v>
      </c>
      <c r="I6">
        <v>3.95</v>
      </c>
      <c r="J6">
        <f>H6*I6</f>
        <v>3.95</v>
      </c>
      <c r="K6" s="1" t="s">
        <v>30</v>
      </c>
    </row>
    <row r="7" spans="1:11">
      <c r="A7" s="2">
        <v>3</v>
      </c>
      <c r="B7" t="s">
        <v>18</v>
      </c>
      <c r="C7" t="s">
        <v>31</v>
      </c>
      <c r="D7" t="s">
        <v>32</v>
      </c>
      <c r="E7" t="s">
        <v>33</v>
      </c>
      <c r="F7">
        <v>26387</v>
      </c>
      <c r="G7" t="s">
        <v>34</v>
      </c>
      <c r="H7" s="34">
        <v>2</v>
      </c>
      <c r="I7" s="34">
        <v>16.989999999999998</v>
      </c>
      <c r="J7" s="34">
        <f>H7*I7</f>
        <v>33.979999999999997</v>
      </c>
      <c r="K7" s="35" t="s">
        <v>35</v>
      </c>
    </row>
    <row r="8" spans="1:11">
      <c r="A8" s="2">
        <v>4</v>
      </c>
      <c r="B8" t="s">
        <v>18</v>
      </c>
      <c r="C8" t="s">
        <v>36</v>
      </c>
      <c r="D8" t="s">
        <v>37</v>
      </c>
      <c r="E8" t="s">
        <v>38</v>
      </c>
      <c r="F8" t="s">
        <v>39</v>
      </c>
      <c r="G8" t="s">
        <v>40</v>
      </c>
      <c r="H8">
        <v>1</v>
      </c>
      <c r="I8">
        <v>0.53</v>
      </c>
      <c r="J8">
        <f t="shared" ref="J8:J19" si="0">H8*I8</f>
        <v>0.53</v>
      </c>
      <c r="K8" s="1" t="s">
        <v>41</v>
      </c>
    </row>
    <row r="9" spans="1:11">
      <c r="A9" s="2">
        <v>5</v>
      </c>
      <c r="B9" t="s">
        <v>42</v>
      </c>
      <c r="D9" t="s">
        <v>43</v>
      </c>
      <c r="E9">
        <v>354</v>
      </c>
      <c r="G9" t="s">
        <v>44</v>
      </c>
      <c r="H9">
        <v>1</v>
      </c>
      <c r="I9">
        <v>19.95</v>
      </c>
      <c r="J9">
        <f t="shared" si="0"/>
        <v>19.95</v>
      </c>
      <c r="K9" s="1" t="s">
        <v>45</v>
      </c>
    </row>
    <row r="10" spans="1:11">
      <c r="A10" s="2">
        <v>6</v>
      </c>
      <c r="B10" t="s">
        <v>18</v>
      </c>
      <c r="C10" t="s">
        <v>46</v>
      </c>
      <c r="D10" t="s">
        <v>47</v>
      </c>
      <c r="E10" t="s">
        <v>48</v>
      </c>
      <c r="F10" t="s">
        <v>49</v>
      </c>
      <c r="G10" t="s">
        <v>50</v>
      </c>
      <c r="H10">
        <v>2</v>
      </c>
      <c r="I10">
        <v>0.71</v>
      </c>
      <c r="J10">
        <f t="shared" si="0"/>
        <v>1.42</v>
      </c>
      <c r="K10" s="1" t="s">
        <v>51</v>
      </c>
    </row>
    <row r="11" spans="1:11" ht="15" customHeight="1">
      <c r="A11" s="2">
        <v>7</v>
      </c>
      <c r="B11" t="s">
        <v>52</v>
      </c>
      <c r="C11" t="s">
        <v>53</v>
      </c>
      <c r="D11" s="21" t="s">
        <v>54</v>
      </c>
      <c r="E11" t="s">
        <v>55</v>
      </c>
      <c r="G11" t="s">
        <v>56</v>
      </c>
      <c r="H11" s="34">
        <v>1</v>
      </c>
      <c r="I11" s="34">
        <v>13.79</v>
      </c>
      <c r="J11" s="34">
        <f t="shared" si="0"/>
        <v>13.79</v>
      </c>
      <c r="K11" s="35" t="s">
        <v>57</v>
      </c>
    </row>
    <row r="12" spans="1:11" ht="45.75">
      <c r="A12" s="30">
        <v>8</v>
      </c>
      <c r="B12" s="31" t="s">
        <v>58</v>
      </c>
      <c r="C12" s="32" t="s">
        <v>59</v>
      </c>
      <c r="D12" s="31" t="s">
        <v>60</v>
      </c>
      <c r="E12" s="32" t="s">
        <v>61</v>
      </c>
      <c r="F12" s="32" t="s">
        <v>62</v>
      </c>
      <c r="G12" s="31" t="s">
        <v>63</v>
      </c>
      <c r="H12" s="32">
        <v>1</v>
      </c>
      <c r="I12" s="32">
        <v>9.9499999999999993</v>
      </c>
      <c r="J12" s="32">
        <f t="shared" si="0"/>
        <v>9.9499999999999993</v>
      </c>
      <c r="K12" s="33" t="s">
        <v>64</v>
      </c>
    </row>
    <row r="13" spans="1:11">
      <c r="A13" s="2"/>
      <c r="J13">
        <f t="shared" si="0"/>
        <v>0</v>
      </c>
    </row>
    <row r="14" spans="1:11">
      <c r="A14" s="2"/>
      <c r="J14">
        <f t="shared" si="0"/>
        <v>0</v>
      </c>
    </row>
    <row r="15" spans="1:11">
      <c r="A15" s="2"/>
      <c r="J15">
        <f t="shared" si="0"/>
        <v>0</v>
      </c>
    </row>
    <row r="16" spans="1:11">
      <c r="A16" s="2"/>
      <c r="J16">
        <f t="shared" si="0"/>
        <v>0</v>
      </c>
    </row>
    <row r="17" spans="1:10">
      <c r="A17" s="2"/>
      <c r="J17">
        <f t="shared" si="0"/>
        <v>0</v>
      </c>
    </row>
    <row r="18" spans="1:10">
      <c r="A18" s="2"/>
      <c r="J18">
        <f t="shared" si="0"/>
        <v>0</v>
      </c>
    </row>
    <row r="19" spans="1:10">
      <c r="A19" s="2"/>
      <c r="J19">
        <f t="shared" si="0"/>
        <v>0</v>
      </c>
    </row>
    <row r="20" spans="1:10">
      <c r="A20" s="2"/>
      <c r="J20">
        <f t="shared" ref="J20:J47" si="1">E20*F20</f>
        <v>0</v>
      </c>
    </row>
    <row r="21" spans="1:10">
      <c r="A21" s="2"/>
      <c r="J21">
        <f t="shared" si="1"/>
        <v>0</v>
      </c>
    </row>
    <row r="22" spans="1:10">
      <c r="A22" s="2"/>
      <c r="J22">
        <f t="shared" si="1"/>
        <v>0</v>
      </c>
    </row>
    <row r="23" spans="1:10">
      <c r="A23" s="2"/>
      <c r="J23">
        <f t="shared" si="1"/>
        <v>0</v>
      </c>
    </row>
    <row r="24" spans="1:10">
      <c r="A24" s="2"/>
      <c r="J24">
        <f t="shared" si="1"/>
        <v>0</v>
      </c>
    </row>
    <row r="25" spans="1:10">
      <c r="A25" s="2"/>
      <c r="J25">
        <f t="shared" si="1"/>
        <v>0</v>
      </c>
    </row>
    <row r="26" spans="1:10">
      <c r="A26" s="2"/>
      <c r="J26">
        <f t="shared" si="1"/>
        <v>0</v>
      </c>
    </row>
    <row r="27" spans="1:10">
      <c r="A27" s="2"/>
      <c r="J27">
        <f t="shared" si="1"/>
        <v>0</v>
      </c>
    </row>
    <row r="28" spans="1:10">
      <c r="A28" s="2"/>
      <c r="J28">
        <f t="shared" si="1"/>
        <v>0</v>
      </c>
    </row>
    <row r="29" spans="1:10">
      <c r="J29">
        <f t="shared" si="1"/>
        <v>0</v>
      </c>
    </row>
    <row r="30" spans="1:10">
      <c r="J30">
        <f t="shared" si="1"/>
        <v>0</v>
      </c>
    </row>
    <row r="31" spans="1:10">
      <c r="J31">
        <f t="shared" si="1"/>
        <v>0</v>
      </c>
    </row>
    <row r="32" spans="1:10">
      <c r="J32">
        <f t="shared" si="1"/>
        <v>0</v>
      </c>
    </row>
    <row r="33" spans="10:10">
      <c r="J33">
        <f t="shared" si="1"/>
        <v>0</v>
      </c>
    </row>
    <row r="34" spans="10:10">
      <c r="J34">
        <f t="shared" si="1"/>
        <v>0</v>
      </c>
    </row>
    <row r="35" spans="10:10">
      <c r="J35">
        <f t="shared" si="1"/>
        <v>0</v>
      </c>
    </row>
    <row r="36" spans="10:10">
      <c r="J36">
        <f t="shared" si="1"/>
        <v>0</v>
      </c>
    </row>
    <row r="37" spans="10:10">
      <c r="J37">
        <f t="shared" si="1"/>
        <v>0</v>
      </c>
    </row>
    <row r="38" spans="10:10">
      <c r="J38">
        <f t="shared" si="1"/>
        <v>0</v>
      </c>
    </row>
    <row r="39" spans="10:10">
      <c r="J39">
        <f t="shared" si="1"/>
        <v>0</v>
      </c>
    </row>
    <row r="40" spans="10:10">
      <c r="J40">
        <f t="shared" si="1"/>
        <v>0</v>
      </c>
    </row>
    <row r="41" spans="10:10">
      <c r="J41">
        <f t="shared" si="1"/>
        <v>0</v>
      </c>
    </row>
    <row r="42" spans="10:10">
      <c r="J42">
        <f t="shared" si="1"/>
        <v>0</v>
      </c>
    </row>
    <row r="43" spans="10:10">
      <c r="J43">
        <f t="shared" si="1"/>
        <v>0</v>
      </c>
    </row>
    <row r="44" spans="10:10">
      <c r="J44">
        <f t="shared" si="1"/>
        <v>0</v>
      </c>
    </row>
    <row r="45" spans="10:10">
      <c r="J45">
        <f t="shared" si="1"/>
        <v>0</v>
      </c>
    </row>
    <row r="46" spans="10:10">
      <c r="J46">
        <f t="shared" si="1"/>
        <v>0</v>
      </c>
    </row>
    <row r="47" spans="10:10">
      <c r="J47">
        <f t="shared" si="1"/>
        <v>0</v>
      </c>
    </row>
  </sheetData>
  <hyperlinks>
    <hyperlink ref="C2" location="'PCB Ordering'!A1" display="PCB Ordering Form" xr:uid="{344CD46F-B6ED-490C-9C21-9B8329AB7438}"/>
    <hyperlink ref="K8" r:id="rId1" xr:uid="{BCD7421F-B65B-4DC6-BB69-F2686F4073D8}"/>
    <hyperlink ref="K9" r:id="rId2" xr:uid="{FE677DB2-5F3B-4D24-8017-9A001799BC9F}"/>
    <hyperlink ref="K7" r:id="rId3" xr:uid="{A25CD6EA-87E5-4F6F-8890-6D177ED01695}"/>
    <hyperlink ref="K11" r:id="rId4" xr:uid="{46671046-8BFB-47B4-AABC-1BFD7D03889F}"/>
    <hyperlink ref="K5" r:id="rId5" xr:uid="{CA241B17-1A9A-47FE-8B89-67BFD07BC401}"/>
    <hyperlink ref="K6" r:id="rId6" xr:uid="{6378B6F6-C5CF-42E6-9BA2-A41AD4B57643}"/>
    <hyperlink ref="K10" r:id="rId7" xr:uid="{76C78CA1-C38C-4236-8D98-FCAA31460742}"/>
    <hyperlink ref="K12" r:id="rId8" xr:uid="{98AAD634-E343-4FFE-B09D-73DEB1B73886}"/>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1CC3-C0BF-4026-BC31-7574AB43E2D4}">
  <dimension ref="A1:K47"/>
  <sheetViews>
    <sheetView zoomScaleNormal="100" workbookViewId="0">
      <pane ySplit="4" topLeftCell="E5" activePane="bottomLeft" state="frozen"/>
      <selection pane="bottomLeft" activeCell="K13" sqref="K13"/>
    </sheetView>
  </sheetViews>
  <sheetFormatPr defaultColWidth="8.85546875" defaultRowHeight="15"/>
  <cols>
    <col min="1" max="1" width="25.85546875" bestFit="1" customWidth="1"/>
    <col min="2" max="2" width="16.7109375" customWidth="1"/>
    <col min="3" max="3" width="18.140625" customWidth="1"/>
    <col min="4" max="4" width="21.140625" bestFit="1" customWidth="1"/>
    <col min="5" max="5" width="26.7109375" bestFit="1" customWidth="1"/>
    <col min="6" max="6" width="35.42578125" bestFit="1" customWidth="1"/>
    <col min="7" max="7" width="49.5703125" customWidth="1"/>
    <col min="8" max="8" width="9.7109375" customWidth="1"/>
    <col min="9" max="9" width="10.42578125" customWidth="1"/>
    <col min="10" max="10" width="15.140625" customWidth="1"/>
    <col min="11" max="11" width="255.7109375" bestFit="1" customWidth="1"/>
  </cols>
  <sheetData>
    <row r="1" spans="1:11">
      <c r="A1" t="s">
        <v>0</v>
      </c>
      <c r="F1" t="s">
        <v>1</v>
      </c>
    </row>
    <row r="2" spans="1:11" ht="21">
      <c r="A2" t="s">
        <v>2</v>
      </c>
      <c r="C2" s="7" t="s">
        <v>3</v>
      </c>
      <c r="F2" t="s">
        <v>4</v>
      </c>
      <c r="G2" s="1"/>
      <c r="J2" t="s">
        <v>5</v>
      </c>
    </row>
    <row r="3" spans="1:11">
      <c r="A3" t="s">
        <v>6</v>
      </c>
      <c r="G3" s="1"/>
      <c r="J3">
        <f>SUM(J5:J11)</f>
        <v>117.28</v>
      </c>
    </row>
    <row r="4" spans="1:11" s="4" customFormat="1">
      <c r="A4" s="3" t="s">
        <v>7</v>
      </c>
      <c r="B4" s="5" t="s">
        <v>8</v>
      </c>
      <c r="C4" s="5" t="s">
        <v>9</v>
      </c>
      <c r="D4" s="3" t="s">
        <v>10</v>
      </c>
      <c r="E4" s="3" t="s">
        <v>11</v>
      </c>
      <c r="F4" s="5" t="s">
        <v>12</v>
      </c>
      <c r="G4" s="3" t="s">
        <v>13</v>
      </c>
      <c r="H4" s="5" t="s">
        <v>14</v>
      </c>
      <c r="I4" s="5" t="s">
        <v>15</v>
      </c>
      <c r="J4" s="3" t="s">
        <v>16</v>
      </c>
      <c r="K4" s="6" t="s">
        <v>17</v>
      </c>
    </row>
    <row r="5" spans="1:11">
      <c r="A5" s="2">
        <v>1</v>
      </c>
      <c r="B5" t="s">
        <v>18</v>
      </c>
      <c r="C5" t="s">
        <v>19</v>
      </c>
      <c r="D5" t="s">
        <v>20</v>
      </c>
      <c r="E5" t="s">
        <v>21</v>
      </c>
      <c r="F5" t="s">
        <v>22</v>
      </c>
      <c r="G5" t="s">
        <v>23</v>
      </c>
      <c r="H5">
        <v>1</v>
      </c>
      <c r="I5">
        <v>10</v>
      </c>
      <c r="J5">
        <f>H5*I5</f>
        <v>10</v>
      </c>
      <c r="K5" s="1" t="s">
        <v>24</v>
      </c>
    </row>
    <row r="6" spans="1:11" ht="45.75">
      <c r="A6" s="2">
        <v>2</v>
      </c>
      <c r="B6" t="s">
        <v>25</v>
      </c>
      <c r="C6" t="s">
        <v>26</v>
      </c>
      <c r="D6" s="21" t="s">
        <v>27</v>
      </c>
      <c r="E6" t="s">
        <v>28</v>
      </c>
      <c r="F6" t="s">
        <v>28</v>
      </c>
      <c r="G6" t="s">
        <v>29</v>
      </c>
      <c r="H6">
        <v>1</v>
      </c>
      <c r="I6">
        <v>3.95</v>
      </c>
      <c r="J6">
        <f>H6*I6</f>
        <v>3.95</v>
      </c>
      <c r="K6" s="1" t="s">
        <v>30</v>
      </c>
    </row>
    <row r="7" spans="1:11">
      <c r="A7" s="2">
        <v>3</v>
      </c>
      <c r="B7" t="s">
        <v>18</v>
      </c>
      <c r="C7" t="s">
        <v>31</v>
      </c>
      <c r="D7" t="s">
        <v>32</v>
      </c>
      <c r="E7" t="s">
        <v>33</v>
      </c>
      <c r="F7">
        <v>26387</v>
      </c>
      <c r="G7" t="s">
        <v>65</v>
      </c>
      <c r="H7">
        <v>3</v>
      </c>
      <c r="I7">
        <v>18.489999999999998</v>
      </c>
      <c r="J7">
        <f>H7*I7</f>
        <v>55.47</v>
      </c>
      <c r="K7" s="1" t="s">
        <v>66</v>
      </c>
    </row>
    <row r="8" spans="1:11">
      <c r="A8" s="2">
        <v>4</v>
      </c>
      <c r="B8" t="s">
        <v>18</v>
      </c>
      <c r="C8" t="s">
        <v>36</v>
      </c>
      <c r="D8" t="s">
        <v>37</v>
      </c>
      <c r="E8" t="s">
        <v>38</v>
      </c>
      <c r="F8" t="s">
        <v>39</v>
      </c>
      <c r="G8" t="s">
        <v>40</v>
      </c>
      <c r="H8">
        <v>1</v>
      </c>
      <c r="I8">
        <v>0.53</v>
      </c>
      <c r="J8">
        <f t="shared" ref="J8:J19" si="0">H8*I8</f>
        <v>0.53</v>
      </c>
      <c r="K8" s="1" t="s">
        <v>41</v>
      </c>
    </row>
    <row r="9" spans="1:11">
      <c r="A9" s="2">
        <v>5</v>
      </c>
      <c r="B9" t="s">
        <v>42</v>
      </c>
      <c r="D9" t="s">
        <v>43</v>
      </c>
      <c r="E9">
        <v>354</v>
      </c>
      <c r="G9" t="s">
        <v>44</v>
      </c>
      <c r="H9">
        <v>1</v>
      </c>
      <c r="I9">
        <v>19.95</v>
      </c>
      <c r="J9">
        <f t="shared" si="0"/>
        <v>19.95</v>
      </c>
      <c r="K9" s="1" t="s">
        <v>45</v>
      </c>
    </row>
    <row r="10" spans="1:11">
      <c r="A10" s="2">
        <v>6</v>
      </c>
      <c r="B10" t="s">
        <v>18</v>
      </c>
      <c r="C10" t="s">
        <v>46</v>
      </c>
      <c r="D10" t="s">
        <v>47</v>
      </c>
      <c r="E10" t="s">
        <v>48</v>
      </c>
      <c r="F10" t="s">
        <v>49</v>
      </c>
      <c r="G10" t="s">
        <v>50</v>
      </c>
      <c r="H10">
        <v>2</v>
      </c>
      <c r="I10">
        <v>0.71</v>
      </c>
      <c r="J10">
        <f t="shared" si="0"/>
        <v>1.42</v>
      </c>
      <c r="K10" s="1" t="s">
        <v>51</v>
      </c>
    </row>
    <row r="11" spans="1:11" ht="15" customHeight="1">
      <c r="A11" s="2">
        <v>7</v>
      </c>
      <c r="B11" t="s">
        <v>52</v>
      </c>
      <c r="C11" t="s">
        <v>53</v>
      </c>
      <c r="D11" s="21" t="s">
        <v>54</v>
      </c>
      <c r="E11" t="s">
        <v>55</v>
      </c>
      <c r="G11" t="s">
        <v>67</v>
      </c>
      <c r="H11">
        <v>2</v>
      </c>
      <c r="I11">
        <v>12.98</v>
      </c>
      <c r="J11">
        <f t="shared" si="0"/>
        <v>25.96</v>
      </c>
      <c r="K11" s="1" t="s">
        <v>68</v>
      </c>
    </row>
    <row r="12" spans="1:11" ht="45.75">
      <c r="A12" s="30">
        <v>8</v>
      </c>
      <c r="B12" s="31" t="s">
        <v>58</v>
      </c>
      <c r="C12" s="32" t="s">
        <v>59</v>
      </c>
      <c r="D12" s="31" t="s">
        <v>60</v>
      </c>
      <c r="E12" s="32" t="s">
        <v>61</v>
      </c>
      <c r="F12" s="32" t="s">
        <v>62</v>
      </c>
      <c r="G12" s="31" t="s">
        <v>63</v>
      </c>
      <c r="H12" s="32">
        <v>1</v>
      </c>
      <c r="I12" s="32">
        <v>9.9499999999999993</v>
      </c>
      <c r="J12" s="32">
        <f t="shared" si="0"/>
        <v>9.9499999999999993</v>
      </c>
      <c r="K12" s="33" t="s">
        <v>64</v>
      </c>
    </row>
    <row r="13" spans="1:11">
      <c r="A13" s="2"/>
      <c r="J13">
        <f t="shared" si="0"/>
        <v>0</v>
      </c>
    </row>
    <row r="14" spans="1:11">
      <c r="A14" s="2"/>
      <c r="J14">
        <f t="shared" si="0"/>
        <v>0</v>
      </c>
    </row>
    <row r="15" spans="1:11">
      <c r="A15" s="2"/>
      <c r="J15">
        <f t="shared" si="0"/>
        <v>0</v>
      </c>
    </row>
    <row r="16" spans="1:11">
      <c r="A16" s="2"/>
      <c r="J16">
        <f t="shared" si="0"/>
        <v>0</v>
      </c>
    </row>
    <row r="17" spans="1:10">
      <c r="A17" s="2"/>
      <c r="J17">
        <f t="shared" si="0"/>
        <v>0</v>
      </c>
    </row>
    <row r="18" spans="1:10">
      <c r="A18" s="2"/>
      <c r="J18">
        <f t="shared" si="0"/>
        <v>0</v>
      </c>
    </row>
    <row r="19" spans="1:10">
      <c r="A19" s="2"/>
      <c r="J19">
        <f t="shared" si="0"/>
        <v>0</v>
      </c>
    </row>
    <row r="20" spans="1:10">
      <c r="A20" s="2"/>
      <c r="J20">
        <f t="shared" ref="J20:J47" si="1">E20*F20</f>
        <v>0</v>
      </c>
    </row>
    <row r="21" spans="1:10">
      <c r="A21" s="2"/>
      <c r="J21">
        <f t="shared" si="1"/>
        <v>0</v>
      </c>
    </row>
    <row r="22" spans="1:10">
      <c r="A22" s="2"/>
      <c r="J22">
        <f t="shared" si="1"/>
        <v>0</v>
      </c>
    </row>
    <row r="23" spans="1:10">
      <c r="A23" s="2"/>
      <c r="J23">
        <f t="shared" si="1"/>
        <v>0</v>
      </c>
    </row>
    <row r="24" spans="1:10">
      <c r="A24" s="2"/>
      <c r="J24">
        <f t="shared" si="1"/>
        <v>0</v>
      </c>
    </row>
    <row r="25" spans="1:10">
      <c r="A25" s="2"/>
      <c r="J25">
        <f t="shared" si="1"/>
        <v>0</v>
      </c>
    </row>
    <row r="26" spans="1:10">
      <c r="A26" s="2"/>
      <c r="J26">
        <f t="shared" si="1"/>
        <v>0</v>
      </c>
    </row>
    <row r="27" spans="1:10">
      <c r="A27" s="2"/>
      <c r="J27">
        <f t="shared" si="1"/>
        <v>0</v>
      </c>
    </row>
    <row r="28" spans="1:10">
      <c r="A28" s="2"/>
      <c r="J28">
        <f t="shared" si="1"/>
        <v>0</v>
      </c>
    </row>
    <row r="29" spans="1:10">
      <c r="J29">
        <f t="shared" si="1"/>
        <v>0</v>
      </c>
    </row>
    <row r="30" spans="1:10">
      <c r="J30">
        <f t="shared" si="1"/>
        <v>0</v>
      </c>
    </row>
    <row r="31" spans="1:10">
      <c r="J31">
        <f t="shared" si="1"/>
        <v>0</v>
      </c>
    </row>
    <row r="32" spans="1:10">
      <c r="J32">
        <f t="shared" si="1"/>
        <v>0</v>
      </c>
    </row>
    <row r="33" spans="10:10">
      <c r="J33">
        <f t="shared" si="1"/>
        <v>0</v>
      </c>
    </row>
    <row r="34" spans="10:10">
      <c r="J34">
        <f t="shared" si="1"/>
        <v>0</v>
      </c>
    </row>
    <row r="35" spans="10:10">
      <c r="J35">
        <f t="shared" si="1"/>
        <v>0</v>
      </c>
    </row>
    <row r="36" spans="10:10">
      <c r="J36">
        <f t="shared" si="1"/>
        <v>0</v>
      </c>
    </row>
    <row r="37" spans="10:10">
      <c r="J37">
        <f t="shared" si="1"/>
        <v>0</v>
      </c>
    </row>
    <row r="38" spans="10:10">
      <c r="J38">
        <f t="shared" si="1"/>
        <v>0</v>
      </c>
    </row>
    <row r="39" spans="10:10">
      <c r="J39">
        <f t="shared" si="1"/>
        <v>0</v>
      </c>
    </row>
    <row r="40" spans="10:10">
      <c r="J40">
        <f t="shared" si="1"/>
        <v>0</v>
      </c>
    </row>
    <row r="41" spans="10:10">
      <c r="J41">
        <f t="shared" si="1"/>
        <v>0</v>
      </c>
    </row>
    <row r="42" spans="10:10">
      <c r="J42">
        <f t="shared" si="1"/>
        <v>0</v>
      </c>
    </row>
    <row r="43" spans="10:10">
      <c r="J43">
        <f t="shared" si="1"/>
        <v>0</v>
      </c>
    </row>
    <row r="44" spans="10:10">
      <c r="J44">
        <f t="shared" si="1"/>
        <v>0</v>
      </c>
    </row>
    <row r="45" spans="10:10">
      <c r="J45">
        <f t="shared" si="1"/>
        <v>0</v>
      </c>
    </row>
    <row r="46" spans="10:10">
      <c r="J46">
        <f t="shared" si="1"/>
        <v>0</v>
      </c>
    </row>
    <row r="47" spans="10:10">
      <c r="J47">
        <f t="shared" si="1"/>
        <v>0</v>
      </c>
    </row>
  </sheetData>
  <hyperlinks>
    <hyperlink ref="C2" location="'PCB Ordering'!A1" display="PCB Ordering Form" xr:uid="{51065A15-ACB3-49EE-80DB-F66D839ABB3E}"/>
    <hyperlink ref="K8" r:id="rId1" xr:uid="{D514A084-CB92-416B-AB29-BF51D22FE3B4}"/>
    <hyperlink ref="K9" r:id="rId2" xr:uid="{4BCBDE97-25AB-4A03-8F59-65D5B7A49AF0}"/>
    <hyperlink ref="K7" r:id="rId3" display="https://www.amazon.com/HiLetgo-ESP32-CAM-Development-Bluetooth-Raspberry/dp/B07RXPHYNM?crid=HQ7EGMZV8O3F&amp;dib=eyJ2IjoiMSJ9.0WbOFxop-ig-2MpjlXinhEqFhmd6gfNfiNi4YTfVYvP1Kkcj-SURMcu4wpPHajyHRCKsBTkkFgR7AZ5HcEK3oKt_l198j0r2zGBJNOcpYDjvhTVD37Bj9mr5dnyPFciQJTv8qlPGJxmvpISdFqAEVbKhgk5MqBBjvIiBQWs5BCbUnUHaamxq2Q5JDHOHPo5SBt_0FPHKtsm-RJyrjZS9OST3ZyYU26Bh8HIyJPPOUQo.9BDOeYdxQjzJAIcEG5UB_0-6N5FNOCLvdzscQ37VBrc&amp;dib_tag=se&amp;keywords=ESP32%2C+OV2640+ESP32-S+Image+Sensor+Senso&amp;qid=1771510083&amp;sprefix=esp32%2C+ov2640+esp32-s+image+sensor+senso%2Caps%2C125&amp;sr=8-8" xr:uid="{ABF5E596-9A18-41E4-B899-0B27BEE9C86F}"/>
    <hyperlink ref="K5" r:id="rId4" xr:uid="{96F144F7-BDDC-4CD9-B8F4-8465AB2BE027}"/>
    <hyperlink ref="K6" r:id="rId5" xr:uid="{CEF9D2C6-F90E-47B4-A7B9-53001722195B}"/>
    <hyperlink ref="K10" r:id="rId6" xr:uid="{489B9826-CB8B-4ADC-BEC5-AC04C132414E}"/>
    <hyperlink ref="K12" r:id="rId7" xr:uid="{8561F10D-9721-4F31-B4E3-9C90F66260FC}"/>
    <hyperlink ref="K11" r:id="rId8" display="https://www.amazon.com/HiLetgo-FT232RL-Converter-Adapter-Breakout/dp/B0FRCSXT6K?crid=2R6657ACJ9W3M&amp;dib=eyJ2IjoiMSJ9.buA9uzSnyBZxXabak4AhdUvlrrg1nGhEYlJHyOzfg5UXOpk-fTCIaRjsdQsvwfnSm2vrut--C3QGlvZe4tSPcZ7cLyd-bk0xTHeqvPIwMNb8kgbw-HQy1EmytHpNZ9ogE2ukr_oRYUhM31mNN6i_rvQ6Ba0fAB_BTsK1DwEcnCGkMoBf4Wld1NUaWTR_BDgvSgyvClGSWhzSKGEY6AGneKdDIKytPJfMiKdlVOlB63c.lQnprOFJSbeIeCzkh5Tykrx3ocSrcHlXVSyFV0YGzB4&amp;dib_tag=se&amp;keywords=FT232RL%2BFTDI%2BUSB%2B3.3V%2B5.5V%2Bto%2BTTL%2BSerial%2BAdapter%2BModule%2Bfor%2BFT232%2BMini%2BPort&amp;nsdOptOutParam=true&amp;qid=1771509988&amp;sprefix=ft232rl%2Bftdi%2Busb%2B3.3v%2B5.5v%2Bto%2Bttl%2Bserial%2Badapter%2Bmodule%2Bfor%2Bft232%2Bmini%2Bport%2Caps%2C155&amp;sr=8-2-spons&amp;sp_csd=d2lkZ2V0TmFtZT1zcF9hdGY&amp;th=1" xr:uid="{4DC60FFB-2CDE-481C-BD1D-790F65751ACA}"/>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480F-818E-4210-A02B-1D405E8540DC}">
  <dimension ref="A1:K53"/>
  <sheetViews>
    <sheetView zoomScaleNormal="100" workbookViewId="0">
      <pane ySplit="4" topLeftCell="A8" activePane="bottomLeft" state="frozen"/>
      <selection pane="bottomLeft" activeCell="A12" sqref="A12:XFD12"/>
    </sheetView>
  </sheetViews>
  <sheetFormatPr defaultColWidth="8.85546875" defaultRowHeight="15"/>
  <cols>
    <col min="1" max="1" width="25.85546875" bestFit="1" customWidth="1"/>
    <col min="2" max="2" width="16.7109375" customWidth="1"/>
    <col min="3" max="3" width="18.140625" customWidth="1"/>
    <col min="4" max="4" width="21.140625" bestFit="1" customWidth="1"/>
    <col min="5" max="5" width="26.7109375" bestFit="1" customWidth="1"/>
    <col min="6" max="6" width="35.42578125" bestFit="1" customWidth="1"/>
    <col min="7" max="7" width="49.5703125" customWidth="1"/>
    <col min="8" max="8" width="9.7109375" customWidth="1"/>
    <col min="9" max="9" width="10.42578125" customWidth="1"/>
    <col min="10" max="10" width="15.140625" customWidth="1"/>
    <col min="11" max="11" width="255.7109375" bestFit="1" customWidth="1"/>
  </cols>
  <sheetData>
    <row r="1" spans="1:11">
      <c r="A1" t="s">
        <v>0</v>
      </c>
      <c r="F1" t="s">
        <v>1</v>
      </c>
    </row>
    <row r="2" spans="1:11" ht="21">
      <c r="A2" t="s">
        <v>2</v>
      </c>
      <c r="C2" s="7" t="s">
        <v>3</v>
      </c>
      <c r="F2" t="s">
        <v>4</v>
      </c>
      <c r="G2" s="1"/>
      <c r="J2" t="s">
        <v>5</v>
      </c>
    </row>
    <row r="3" spans="1:11">
      <c r="A3" t="s">
        <v>6</v>
      </c>
      <c r="G3" s="1"/>
      <c r="J3">
        <f>SUM(J5:J16)</f>
        <v>184.13999999999996</v>
      </c>
    </row>
    <row r="4" spans="1:11" s="4" customFormat="1">
      <c r="A4" s="3" t="s">
        <v>7</v>
      </c>
      <c r="B4" s="5" t="s">
        <v>8</v>
      </c>
      <c r="C4" s="5" t="s">
        <v>9</v>
      </c>
      <c r="D4" s="3" t="s">
        <v>10</v>
      </c>
      <c r="E4" s="3" t="s">
        <v>11</v>
      </c>
      <c r="F4" s="5" t="s">
        <v>12</v>
      </c>
      <c r="G4" s="3" t="s">
        <v>13</v>
      </c>
      <c r="H4" s="5" t="s">
        <v>14</v>
      </c>
      <c r="I4" s="5" t="s">
        <v>15</v>
      </c>
      <c r="J4" s="3" t="s">
        <v>16</v>
      </c>
      <c r="K4" s="6" t="s">
        <v>17</v>
      </c>
    </row>
    <row r="5" spans="1:11">
      <c r="A5" s="2">
        <v>1</v>
      </c>
      <c r="B5" t="s">
        <v>18</v>
      </c>
      <c r="C5" t="s">
        <v>19</v>
      </c>
      <c r="D5" t="s">
        <v>69</v>
      </c>
      <c r="E5" t="s">
        <v>21</v>
      </c>
      <c r="F5" t="s">
        <v>22</v>
      </c>
      <c r="G5" t="s">
        <v>23</v>
      </c>
      <c r="H5">
        <v>1</v>
      </c>
      <c r="I5">
        <v>10</v>
      </c>
      <c r="J5">
        <f>H5*I5</f>
        <v>10</v>
      </c>
      <c r="K5" s="1" t="s">
        <v>24</v>
      </c>
    </row>
    <row r="6" spans="1:11" s="23" customFormat="1">
      <c r="A6" s="22">
        <v>2</v>
      </c>
      <c r="B6" s="23" t="s">
        <v>70</v>
      </c>
      <c r="D6" s="23" t="s">
        <v>71</v>
      </c>
      <c r="E6" s="23" t="s">
        <v>72</v>
      </c>
      <c r="G6" s="23" t="s">
        <v>73</v>
      </c>
      <c r="H6" s="23">
        <v>4</v>
      </c>
      <c r="I6" s="23">
        <v>8.8000000000000007</v>
      </c>
      <c r="J6" s="23">
        <f>H6*I6</f>
        <v>35.200000000000003</v>
      </c>
      <c r="K6" s="24" t="s">
        <v>74</v>
      </c>
    </row>
    <row r="7" spans="1:11" ht="45.75">
      <c r="A7" s="2">
        <v>3</v>
      </c>
      <c r="B7" t="s">
        <v>25</v>
      </c>
      <c r="C7" t="s">
        <v>26</v>
      </c>
      <c r="D7" s="21" t="s">
        <v>27</v>
      </c>
      <c r="E7" t="s">
        <v>28</v>
      </c>
      <c r="F7" t="s">
        <v>28</v>
      </c>
      <c r="G7" t="s">
        <v>75</v>
      </c>
      <c r="H7">
        <v>1</v>
      </c>
      <c r="I7">
        <v>3.95</v>
      </c>
      <c r="J7">
        <f>H7*I7</f>
        <v>3.95</v>
      </c>
      <c r="K7" s="1" t="s">
        <v>30</v>
      </c>
    </row>
    <row r="8" spans="1:11">
      <c r="A8" s="2">
        <v>4</v>
      </c>
      <c r="B8" t="s">
        <v>18</v>
      </c>
      <c r="C8" t="s">
        <v>31</v>
      </c>
      <c r="D8" t="s">
        <v>32</v>
      </c>
      <c r="E8" t="s">
        <v>33</v>
      </c>
      <c r="F8">
        <v>26387</v>
      </c>
      <c r="G8" t="s">
        <v>34</v>
      </c>
      <c r="H8">
        <v>2</v>
      </c>
      <c r="I8">
        <v>16.989999999999998</v>
      </c>
      <c r="J8">
        <f>H8*I8</f>
        <v>33.979999999999997</v>
      </c>
      <c r="K8" s="1" t="s">
        <v>35</v>
      </c>
    </row>
    <row r="9" spans="1:11" s="23" customFormat="1" ht="45.75">
      <c r="A9" s="22">
        <v>5</v>
      </c>
      <c r="B9" s="23" t="s">
        <v>42</v>
      </c>
      <c r="C9" s="23" t="s">
        <v>76</v>
      </c>
      <c r="D9" s="25" t="s">
        <v>77</v>
      </c>
      <c r="E9" s="23">
        <v>159</v>
      </c>
      <c r="F9" s="23" t="s">
        <v>78</v>
      </c>
      <c r="G9" s="23" t="s">
        <v>79</v>
      </c>
      <c r="H9" s="23">
        <v>1</v>
      </c>
      <c r="I9" s="23">
        <v>2</v>
      </c>
      <c r="J9" s="23">
        <f t="shared" ref="J5:J25" si="0">H9*I9</f>
        <v>2</v>
      </c>
      <c r="K9" s="24" t="s">
        <v>80</v>
      </c>
    </row>
    <row r="10" spans="1:11">
      <c r="A10" s="2">
        <v>6</v>
      </c>
      <c r="B10" t="s">
        <v>18</v>
      </c>
      <c r="C10" t="s">
        <v>36</v>
      </c>
      <c r="D10" t="s">
        <v>37</v>
      </c>
      <c r="E10" t="s">
        <v>38</v>
      </c>
      <c r="F10" t="s">
        <v>39</v>
      </c>
      <c r="G10" t="s">
        <v>40</v>
      </c>
      <c r="H10">
        <v>1</v>
      </c>
      <c r="I10">
        <v>0.53</v>
      </c>
      <c r="J10">
        <f t="shared" si="0"/>
        <v>0.53</v>
      </c>
      <c r="K10" s="1" t="s">
        <v>41</v>
      </c>
    </row>
    <row r="11" spans="1:11" s="23" customFormat="1">
      <c r="A11" s="22">
        <v>7</v>
      </c>
      <c r="B11" s="23" t="s">
        <v>52</v>
      </c>
      <c r="C11" s="23" t="s">
        <v>42</v>
      </c>
      <c r="D11" s="23" t="s">
        <v>81</v>
      </c>
      <c r="E11" s="23" t="s">
        <v>82</v>
      </c>
      <c r="F11" s="23">
        <v>2465</v>
      </c>
      <c r="G11" s="23" t="s">
        <v>83</v>
      </c>
      <c r="H11" s="23">
        <v>2</v>
      </c>
      <c r="I11" s="23">
        <v>23.19</v>
      </c>
      <c r="J11" s="23">
        <f t="shared" si="0"/>
        <v>46.38</v>
      </c>
      <c r="K11" s="24" t="s">
        <v>84</v>
      </c>
    </row>
    <row r="12" spans="1:11" s="23" customFormat="1">
      <c r="A12" s="22">
        <v>8</v>
      </c>
      <c r="B12" s="23" t="s">
        <v>42</v>
      </c>
      <c r="D12" s="23" t="s">
        <v>43</v>
      </c>
      <c r="E12" s="23">
        <v>354</v>
      </c>
      <c r="G12" s="23" t="s">
        <v>44</v>
      </c>
      <c r="H12" s="23">
        <v>1</v>
      </c>
      <c r="I12" s="23">
        <v>19.95</v>
      </c>
      <c r="J12" s="23">
        <f t="shared" si="0"/>
        <v>19.95</v>
      </c>
      <c r="K12" s="24" t="s">
        <v>45</v>
      </c>
    </row>
    <row r="13" spans="1:11" s="23" customFormat="1">
      <c r="A13" s="22">
        <v>9</v>
      </c>
      <c r="B13" s="23" t="s">
        <v>85</v>
      </c>
      <c r="C13" s="23" t="s">
        <v>85</v>
      </c>
      <c r="D13" s="23" t="s">
        <v>86</v>
      </c>
      <c r="E13" s="23">
        <v>2417962</v>
      </c>
      <c r="F13" s="23" t="s">
        <v>87</v>
      </c>
      <c r="G13" s="23" t="s">
        <v>88</v>
      </c>
      <c r="H13" s="23">
        <v>1</v>
      </c>
      <c r="I13" s="23">
        <v>9.99</v>
      </c>
      <c r="J13" s="23">
        <f t="shared" si="0"/>
        <v>9.99</v>
      </c>
      <c r="K13" s="24" t="s">
        <v>89</v>
      </c>
    </row>
    <row r="14" spans="1:11" s="23" customFormat="1">
      <c r="A14" s="22">
        <v>10</v>
      </c>
      <c r="B14" s="23" t="s">
        <v>42</v>
      </c>
      <c r="D14" s="23" t="s">
        <v>90</v>
      </c>
      <c r="E14" s="23">
        <v>3898</v>
      </c>
      <c r="G14" s="23" t="s">
        <v>91</v>
      </c>
      <c r="H14" s="23">
        <v>1</v>
      </c>
      <c r="I14" s="23">
        <v>6.95</v>
      </c>
      <c r="J14" s="23">
        <f t="shared" si="0"/>
        <v>6.95</v>
      </c>
      <c r="K14" s="24" t="s">
        <v>92</v>
      </c>
    </row>
    <row r="15" spans="1:11">
      <c r="A15" s="2">
        <v>11</v>
      </c>
      <c r="B15" t="s">
        <v>18</v>
      </c>
      <c r="C15" t="s">
        <v>46</v>
      </c>
      <c r="D15" t="s">
        <v>47</v>
      </c>
      <c r="E15" t="s">
        <v>48</v>
      </c>
      <c r="F15" t="s">
        <v>49</v>
      </c>
      <c r="G15" t="s">
        <v>50</v>
      </c>
      <c r="H15">
        <v>2</v>
      </c>
      <c r="I15">
        <v>0.71</v>
      </c>
      <c r="J15">
        <f t="shared" si="0"/>
        <v>1.42</v>
      </c>
      <c r="K15" s="1" t="s">
        <v>51</v>
      </c>
    </row>
    <row r="16" spans="1:11" ht="15" customHeight="1">
      <c r="A16" s="2">
        <v>12</v>
      </c>
      <c r="B16" t="s">
        <v>52</v>
      </c>
      <c r="C16" t="s">
        <v>53</v>
      </c>
      <c r="D16" s="21" t="s">
        <v>54</v>
      </c>
      <c r="E16" t="s">
        <v>55</v>
      </c>
      <c r="G16" t="s">
        <v>56</v>
      </c>
      <c r="H16">
        <v>1</v>
      </c>
      <c r="I16">
        <v>13.79</v>
      </c>
      <c r="J16">
        <f t="shared" si="0"/>
        <v>13.79</v>
      </c>
      <c r="K16" s="1" t="s">
        <v>57</v>
      </c>
    </row>
    <row r="17" spans="1:11">
      <c r="A17" s="2">
        <v>13</v>
      </c>
      <c r="J17">
        <f t="shared" si="0"/>
        <v>0</v>
      </c>
    </row>
    <row r="18" spans="1:11" ht="45.75">
      <c r="A18" s="2">
        <v>14</v>
      </c>
      <c r="B18" s="25" t="s">
        <v>93</v>
      </c>
      <c r="J18">
        <f t="shared" si="0"/>
        <v>0</v>
      </c>
    </row>
    <row r="19" spans="1:11">
      <c r="A19" s="2">
        <v>15</v>
      </c>
      <c r="J19">
        <f t="shared" si="0"/>
        <v>0</v>
      </c>
    </row>
    <row r="20" spans="1:11">
      <c r="A20" s="2">
        <v>16</v>
      </c>
      <c r="J20">
        <f t="shared" si="0"/>
        <v>0</v>
      </c>
    </row>
    <row r="21" spans="1:11">
      <c r="A21" s="2">
        <v>17</v>
      </c>
      <c r="J21">
        <f t="shared" si="0"/>
        <v>0</v>
      </c>
    </row>
    <row r="22" spans="1:11" ht="30.75">
      <c r="A22" s="2">
        <v>18</v>
      </c>
      <c r="B22" s="26" t="s">
        <v>94</v>
      </c>
      <c r="J22">
        <f t="shared" si="0"/>
        <v>0</v>
      </c>
    </row>
    <row r="23" spans="1:11" s="28" customFormat="1" ht="45.75">
      <c r="A23" s="27">
        <v>19</v>
      </c>
      <c r="B23" s="26" t="s">
        <v>58</v>
      </c>
      <c r="C23" s="28" t="s">
        <v>59</v>
      </c>
      <c r="D23" s="26" t="s">
        <v>60</v>
      </c>
      <c r="E23" s="28" t="s">
        <v>61</v>
      </c>
      <c r="F23" s="28" t="s">
        <v>62</v>
      </c>
      <c r="G23" s="26" t="s">
        <v>63</v>
      </c>
      <c r="H23" s="28">
        <v>1</v>
      </c>
      <c r="I23" s="28">
        <v>9.9499999999999993</v>
      </c>
      <c r="J23" s="28">
        <f t="shared" si="0"/>
        <v>9.9499999999999993</v>
      </c>
      <c r="K23" s="29" t="s">
        <v>64</v>
      </c>
    </row>
    <row r="24" spans="1:11">
      <c r="A24" s="2">
        <v>20</v>
      </c>
      <c r="J24">
        <f t="shared" si="0"/>
        <v>0</v>
      </c>
    </row>
    <row r="25" spans="1:11">
      <c r="A25" s="2">
        <v>21</v>
      </c>
      <c r="J25">
        <f t="shared" si="0"/>
        <v>0</v>
      </c>
    </row>
    <row r="26" spans="1:11">
      <c r="A26" s="2">
        <v>22</v>
      </c>
      <c r="J26">
        <f t="shared" ref="J26:J53" si="1">E26*F26</f>
        <v>0</v>
      </c>
    </row>
    <row r="27" spans="1:11">
      <c r="A27" s="2">
        <v>23</v>
      </c>
      <c r="J27">
        <f t="shared" si="1"/>
        <v>0</v>
      </c>
    </row>
    <row r="28" spans="1:11">
      <c r="A28" s="2">
        <v>24</v>
      </c>
      <c r="J28">
        <f t="shared" si="1"/>
        <v>0</v>
      </c>
    </row>
    <row r="29" spans="1:11">
      <c r="A29" s="2">
        <v>25</v>
      </c>
      <c r="J29">
        <f t="shared" si="1"/>
        <v>0</v>
      </c>
    </row>
    <row r="30" spans="1:11">
      <c r="A30" s="2">
        <v>26</v>
      </c>
      <c r="J30">
        <f t="shared" si="1"/>
        <v>0</v>
      </c>
    </row>
    <row r="31" spans="1:11">
      <c r="A31" s="2">
        <v>27</v>
      </c>
      <c r="J31">
        <f t="shared" si="1"/>
        <v>0</v>
      </c>
    </row>
    <row r="32" spans="1:11">
      <c r="A32" s="2">
        <v>28</v>
      </c>
      <c r="J32">
        <f t="shared" si="1"/>
        <v>0</v>
      </c>
    </row>
    <row r="33" spans="1:10">
      <c r="A33" s="2">
        <v>29</v>
      </c>
      <c r="J33">
        <f t="shared" si="1"/>
        <v>0</v>
      </c>
    </row>
    <row r="34" spans="1:10">
      <c r="A34" s="2">
        <v>30</v>
      </c>
      <c r="J34">
        <f t="shared" si="1"/>
        <v>0</v>
      </c>
    </row>
    <row r="35" spans="1:10">
      <c r="J35">
        <f t="shared" si="1"/>
        <v>0</v>
      </c>
    </row>
    <row r="36" spans="1:10">
      <c r="J36">
        <f t="shared" si="1"/>
        <v>0</v>
      </c>
    </row>
    <row r="37" spans="1:10">
      <c r="J37">
        <f t="shared" si="1"/>
        <v>0</v>
      </c>
    </row>
    <row r="38" spans="1:10">
      <c r="J38">
        <f t="shared" si="1"/>
        <v>0</v>
      </c>
    </row>
    <row r="39" spans="1:10">
      <c r="J39">
        <f t="shared" si="1"/>
        <v>0</v>
      </c>
    </row>
    <row r="40" spans="1:10">
      <c r="J40">
        <f t="shared" si="1"/>
        <v>0</v>
      </c>
    </row>
    <row r="41" spans="1:10">
      <c r="J41">
        <f t="shared" si="1"/>
        <v>0</v>
      </c>
    </row>
    <row r="42" spans="1:10">
      <c r="J42">
        <f t="shared" si="1"/>
        <v>0</v>
      </c>
    </row>
    <row r="43" spans="1:10">
      <c r="J43">
        <f t="shared" si="1"/>
        <v>0</v>
      </c>
    </row>
    <row r="44" spans="1:10">
      <c r="J44">
        <f t="shared" si="1"/>
        <v>0</v>
      </c>
    </row>
    <row r="45" spans="1:10">
      <c r="J45">
        <f t="shared" si="1"/>
        <v>0</v>
      </c>
    </row>
    <row r="46" spans="1:10">
      <c r="J46">
        <f t="shared" si="1"/>
        <v>0</v>
      </c>
    </row>
    <row r="47" spans="1:10">
      <c r="J47">
        <f t="shared" si="1"/>
        <v>0</v>
      </c>
    </row>
    <row r="48" spans="1:10">
      <c r="J48">
        <f t="shared" si="1"/>
        <v>0</v>
      </c>
    </row>
    <row r="49" spans="10:10">
      <c r="J49">
        <f t="shared" si="1"/>
        <v>0</v>
      </c>
    </row>
    <row r="50" spans="10:10">
      <c r="J50">
        <f t="shared" si="1"/>
        <v>0</v>
      </c>
    </row>
    <row r="51" spans="10:10">
      <c r="J51">
        <f t="shared" si="1"/>
        <v>0</v>
      </c>
    </row>
    <row r="52" spans="10:10">
      <c r="J52">
        <f t="shared" si="1"/>
        <v>0</v>
      </c>
    </row>
    <row r="53" spans="10:10">
      <c r="J53">
        <f t="shared" si="1"/>
        <v>0</v>
      </c>
    </row>
  </sheetData>
  <hyperlinks>
    <hyperlink ref="C2" location="'PCB Ordering'!A1" display="PCB Ordering Form" xr:uid="{2276852F-6ABE-45EC-8C9D-11A2FE764422}"/>
    <hyperlink ref="K6" r:id="rId1" xr:uid="{EF9F966A-A94B-4921-9B38-DF590C4E877B}"/>
    <hyperlink ref="K10" r:id="rId2" xr:uid="{9954F642-CAE7-40DE-B6C3-1D54F058AF7B}"/>
    <hyperlink ref="K11" r:id="rId3" xr:uid="{E4E0594E-2962-4CDA-861F-3AA18DFD864A}"/>
    <hyperlink ref="K12" r:id="rId4" xr:uid="{1A60894F-0FB9-4171-B8DC-E04C98C2B818}"/>
    <hyperlink ref="K13" r:id="rId5" display="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 xr:uid="{9BEE6ABB-831F-4E8A-8D24-B4F22EA3053A}"/>
    <hyperlink ref="K14" r:id="rId6" xr:uid="{7EB7F980-1C17-4611-83FA-36E2976EC290}"/>
    <hyperlink ref="K8" r:id="rId7" xr:uid="{D59C2689-D213-483D-B1C6-2DD01ABC14CE}"/>
    <hyperlink ref="K16" r:id="rId8" xr:uid="{A95DEFDC-7BE0-4B59-B181-7E668B01FC3B}"/>
    <hyperlink ref="K9" r:id="rId9" xr:uid="{55B3A13F-6EB0-47D4-9845-95F557F3C893}"/>
    <hyperlink ref="K5" r:id="rId10" xr:uid="{46BBD2F2-B38E-4333-B259-4B4068B0A988}"/>
    <hyperlink ref="K7" r:id="rId11" xr:uid="{78934FB5-BF33-4CF8-B125-E5624FFACEF8}"/>
    <hyperlink ref="K15" r:id="rId12" xr:uid="{F7542AF2-9BD5-4AA0-9D99-02CE77A7B43C}"/>
    <hyperlink ref="K23" r:id="rId13" xr:uid="{5A20E11A-3A42-4B53-868F-10DAF43A6FBC}"/>
  </hyperlinks>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0B9-3DDD-401B-B8F5-4B683BFD1056}">
  <dimension ref="A1:F45"/>
  <sheetViews>
    <sheetView topLeftCell="A19" workbookViewId="0"/>
  </sheetViews>
  <sheetFormatPr defaultRowHeight="15"/>
  <cols>
    <col min="1" max="1" width="27.28515625" customWidth="1"/>
    <col min="2" max="2" width="28.7109375" customWidth="1"/>
    <col min="3" max="3" width="19.140625" customWidth="1"/>
    <col min="5" max="5" width="23.5703125" customWidth="1"/>
    <col min="6" max="6" width="35.42578125" bestFit="1" customWidth="1"/>
  </cols>
  <sheetData>
    <row r="1" spans="1:6">
      <c r="A1" t="s">
        <v>95</v>
      </c>
      <c r="F1" t="s">
        <v>96</v>
      </c>
    </row>
    <row r="2" spans="1:6" ht="21">
      <c r="A2" t="s">
        <v>97</v>
      </c>
      <c r="C2" s="7" t="s">
        <v>98</v>
      </c>
      <c r="F2" t="s">
        <v>99</v>
      </c>
    </row>
    <row r="3" spans="1:6">
      <c r="A3" t="s">
        <v>6</v>
      </c>
    </row>
    <row r="4" spans="1:6">
      <c r="A4" t="s">
        <v>100</v>
      </c>
    </row>
    <row r="6" spans="1:6" ht="15" customHeight="1">
      <c r="A6" s="36" t="s">
        <v>101</v>
      </c>
      <c r="B6" s="36"/>
      <c r="C6" s="36"/>
    </row>
    <row r="7" spans="1:6">
      <c r="A7" s="36"/>
      <c r="B7" s="36"/>
      <c r="C7" s="36"/>
    </row>
    <row r="8" spans="1:6">
      <c r="A8" s="36"/>
      <c r="B8" s="36"/>
      <c r="C8" s="36"/>
    </row>
    <row r="9" spans="1:6">
      <c r="A9" s="36"/>
      <c r="B9" s="36"/>
      <c r="C9" s="36"/>
    </row>
    <row r="14" spans="1:6">
      <c r="A14" s="8" t="s">
        <v>102</v>
      </c>
      <c r="B14" s="9"/>
      <c r="D14" s="42" t="s">
        <v>103</v>
      </c>
      <c r="E14" s="42"/>
      <c r="F14" s="42"/>
    </row>
    <row r="15" spans="1:6">
      <c r="A15" s="8" t="s">
        <v>104</v>
      </c>
      <c r="B15" s="10" t="s">
        <v>105</v>
      </c>
      <c r="D15" s="20" t="s">
        <v>106</v>
      </c>
      <c r="E15" s="39" t="s">
        <v>107</v>
      </c>
      <c r="F15" s="39"/>
    </row>
    <row r="16" spans="1:6">
      <c r="A16" s="8" t="s">
        <v>108</v>
      </c>
      <c r="B16" s="11">
        <v>2</v>
      </c>
      <c r="D16" s="18" t="s">
        <v>109</v>
      </c>
      <c r="E16" s="40" t="s">
        <v>110</v>
      </c>
      <c r="F16" s="40"/>
    </row>
    <row r="17" spans="1:6">
      <c r="A17" s="8" t="s">
        <v>111</v>
      </c>
      <c r="B17" s="11"/>
      <c r="D17" s="19" t="s">
        <v>112</v>
      </c>
      <c r="E17" s="41" t="s">
        <v>113</v>
      </c>
      <c r="F17" s="41"/>
    </row>
    <row r="18" spans="1:6">
      <c r="A18" s="8" t="s">
        <v>114</v>
      </c>
      <c r="B18" s="11">
        <v>5</v>
      </c>
    </row>
    <row r="19" spans="1:6">
      <c r="A19" s="8" t="s">
        <v>115</v>
      </c>
      <c r="B19" s="10" t="s">
        <v>116</v>
      </c>
    </row>
    <row r="20" spans="1:6">
      <c r="A20" s="8"/>
      <c r="B20" s="9"/>
    </row>
    <row r="21" spans="1:6">
      <c r="A21" s="8" t="s">
        <v>117</v>
      </c>
      <c r="B21" s="12">
        <v>1</v>
      </c>
    </row>
    <row r="22" spans="1:6">
      <c r="A22" s="8" t="s">
        <v>118</v>
      </c>
      <c r="B22" s="12" t="s">
        <v>119</v>
      </c>
    </row>
    <row r="23" spans="1:6">
      <c r="A23" s="8" t="s">
        <v>120</v>
      </c>
      <c r="B23" s="10" t="s">
        <v>121</v>
      </c>
    </row>
    <row r="24" spans="1:6">
      <c r="A24" s="8" t="s">
        <v>122</v>
      </c>
      <c r="B24" s="11" t="s">
        <v>123</v>
      </c>
    </row>
    <row r="25" spans="1:6">
      <c r="A25" s="8" t="s">
        <v>124</v>
      </c>
      <c r="B25" s="12" t="s">
        <v>125</v>
      </c>
    </row>
    <row r="26" spans="1:6">
      <c r="A26" s="8" t="s">
        <v>126</v>
      </c>
      <c r="B26" s="10" t="s">
        <v>127</v>
      </c>
    </row>
    <row r="27" spans="1:6">
      <c r="A27" s="8" t="s">
        <v>128</v>
      </c>
      <c r="B27" s="11" t="s">
        <v>129</v>
      </c>
    </row>
    <row r="28" spans="1:6">
      <c r="A28" s="8"/>
      <c r="B28" s="13"/>
    </row>
    <row r="29" spans="1:6">
      <c r="A29" s="8" t="s">
        <v>130</v>
      </c>
      <c r="B29" s="5" t="s">
        <v>131</v>
      </c>
    </row>
    <row r="30" spans="1:6">
      <c r="A30" s="8" t="s">
        <v>132</v>
      </c>
      <c r="B30" s="14" t="s">
        <v>133</v>
      </c>
    </row>
    <row r="31" spans="1:6">
      <c r="A31" s="8" t="s">
        <v>134</v>
      </c>
      <c r="B31" s="14" t="s">
        <v>135</v>
      </c>
    </row>
    <row r="32" spans="1:6">
      <c r="A32" s="8" t="s">
        <v>136</v>
      </c>
      <c r="B32" s="15" t="s">
        <v>137</v>
      </c>
    </row>
    <row r="33" spans="1:2">
      <c r="A33" s="8" t="s">
        <v>138</v>
      </c>
      <c r="B33" s="16" t="s">
        <v>139</v>
      </c>
    </row>
    <row r="34" spans="1:2">
      <c r="A34" s="8" t="s">
        <v>140</v>
      </c>
      <c r="B34" s="16" t="s">
        <v>141</v>
      </c>
    </row>
    <row r="35" spans="1:2">
      <c r="A35" s="8" t="s">
        <v>142</v>
      </c>
      <c r="B35" s="16" t="s">
        <v>143</v>
      </c>
    </row>
    <row r="36" spans="1:2">
      <c r="A36" s="8" t="s">
        <v>144</v>
      </c>
      <c r="B36" s="14" t="s">
        <v>139</v>
      </c>
    </row>
    <row r="37" spans="1:2">
      <c r="A37" s="8" t="s">
        <v>145</v>
      </c>
      <c r="B37" s="14" t="s">
        <v>139</v>
      </c>
    </row>
    <row r="38" spans="1:2">
      <c r="A38" s="8" t="s">
        <v>146</v>
      </c>
      <c r="B38" s="14" t="s">
        <v>139</v>
      </c>
    </row>
    <row r="39" spans="1:2">
      <c r="A39" s="8" t="s">
        <v>147</v>
      </c>
      <c r="B39" s="10" t="s">
        <v>139</v>
      </c>
    </row>
    <row r="40" spans="1:2">
      <c r="A40" s="8" t="s">
        <v>148</v>
      </c>
      <c r="B40" s="12" t="s">
        <v>139</v>
      </c>
    </row>
    <row r="41" spans="1:2">
      <c r="A41" s="8"/>
      <c r="B41" s="9"/>
    </row>
    <row r="42" spans="1:2">
      <c r="A42" s="8" t="s">
        <v>149</v>
      </c>
      <c r="B42" s="10" t="s">
        <v>150</v>
      </c>
    </row>
    <row r="43" spans="1:2">
      <c r="A43" s="17"/>
      <c r="B43" s="17"/>
    </row>
    <row r="44" spans="1:2">
      <c r="A44" s="38" t="s">
        <v>151</v>
      </c>
      <c r="B44" s="37" t="s">
        <v>152</v>
      </c>
    </row>
    <row r="45" spans="1:2">
      <c r="A45" s="38"/>
      <c r="B45" s="43"/>
    </row>
  </sheetData>
  <mergeCells count="7">
    <mergeCell ref="A6:C9"/>
    <mergeCell ref="B44:B45"/>
    <mergeCell ref="A44:A45"/>
    <mergeCell ref="E15:F15"/>
    <mergeCell ref="E16:F16"/>
    <mergeCell ref="E17:F17"/>
    <mergeCell ref="D14:F14"/>
  </mergeCells>
  <hyperlinks>
    <hyperlink ref="C2" location="Parts!A1" display="PCB Ordering Form" xr:uid="{5BD62FCA-F6DF-43B0-A303-E811D82A57C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605B2E0701B43963BFF7FC61304C2" ma:contentTypeVersion="3" ma:contentTypeDescription="Create a new document." ma:contentTypeScope="" ma:versionID="743c87ac9c019e186df68c97975909aa">
  <xsd:schema xmlns:xsd="http://www.w3.org/2001/XMLSchema" xmlns:xs="http://www.w3.org/2001/XMLSchema" xmlns:p="http://schemas.microsoft.com/office/2006/metadata/properties" xmlns:ns2="7b654bef-7bad-4285-9ce3-a2eadcb1a25f" targetNamespace="http://schemas.microsoft.com/office/2006/metadata/properties" ma:root="true" ma:fieldsID="529be155c887ed257db68c3fec692cf7" ns2:_="">
    <xsd:import namespace="7b654bef-7bad-4285-9ce3-a2eadcb1a2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654bef-7bad-4285-9ce3-a2eadcb1a2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F5B403-4F81-4E25-9AF0-F55555FCC522}"/>
</file>

<file path=customXml/itemProps2.xml><?xml version="1.0" encoding="utf-8"?>
<ds:datastoreItem xmlns:ds="http://schemas.openxmlformats.org/officeDocument/2006/customXml" ds:itemID="{B41705BF-767D-47DE-8494-D4E57FBB3BDB}"/>
</file>

<file path=customXml/itemProps3.xml><?xml version="1.0" encoding="utf-8"?>
<ds:datastoreItem xmlns:ds="http://schemas.openxmlformats.org/officeDocument/2006/customXml" ds:itemID="{08D5A831-16BD-426B-B0C2-8C1B16D2C0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dc:creator>
  <cp:keywords/>
  <dc:description/>
  <cp:lastModifiedBy/>
  <cp:revision/>
  <dcterms:created xsi:type="dcterms:W3CDTF">2020-01-29T22:23:18Z</dcterms:created>
  <dcterms:modified xsi:type="dcterms:W3CDTF">2026-02-23T23:44:31Z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0x010100D08605B2E0701B43963BFF7FC61304C2</vt:lpwstr>
  </property>
</Properties>
</file>